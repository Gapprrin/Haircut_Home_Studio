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gQiMhWhfNQgxI9gD2cUHTHTQql8bggDF5aRSAYv/jkY="/>
    </ext>
  </extLst>
</workbook>
</file>

<file path=xl/sharedStrings.xml><?xml version="1.0" encoding="utf-8"?>
<sst xmlns="http://schemas.openxmlformats.org/spreadsheetml/2006/main" count="144" uniqueCount="92">
  <si>
    <t>FUENTE DE INFORMACION www.mifuturo.cl / www.universia.cl</t>
  </si>
  <si>
    <t>INGENIERIA INFORMÁTICA</t>
  </si>
  <si>
    <t>EXPERIENCIA</t>
  </si>
  <si>
    <t>EDT- Planilla Estructura de Descomposición de Tareas</t>
  </si>
  <si>
    <t>SIGLA</t>
  </si>
  <si>
    <t>ROL</t>
  </si>
  <si>
    <t>(- 2 años)</t>
  </si>
  <si>
    <t>(+2 años)</t>
  </si>
  <si>
    <t>RESPONS.</t>
  </si>
  <si>
    <t>SUELDO</t>
  </si>
  <si>
    <t>HH</t>
  </si>
  <si>
    <t>ACTIVIDADES</t>
  </si>
  <si>
    <t>JP</t>
  </si>
  <si>
    <t>Jefe de Proyecto</t>
  </si>
  <si>
    <t>x</t>
  </si>
  <si>
    <t>Horas por Actividad o entregable</t>
  </si>
  <si>
    <t>DICCIONARIO EDT</t>
  </si>
  <si>
    <t>Fase 1: Análisis y Planificación</t>
  </si>
  <si>
    <t>Días</t>
  </si>
  <si>
    <t>AF</t>
  </si>
  <si>
    <t>PG</t>
  </si>
  <si>
    <t>DBA</t>
  </si>
  <si>
    <t>TS</t>
  </si>
  <si>
    <t>DI</t>
  </si>
  <si>
    <t>NOMBRE</t>
  </si>
  <si>
    <t>COSTO x HORA</t>
  </si>
  <si>
    <t>Definición del proyecto</t>
  </si>
  <si>
    <t>Analista Funcional</t>
  </si>
  <si>
    <t>JEFE DEPROYECTO</t>
  </si>
  <si>
    <t>Programador</t>
  </si>
  <si>
    <t>Rosa Garrido</t>
  </si>
  <si>
    <t>Documento de visión del proyecto</t>
  </si>
  <si>
    <t>Desarrollador BD</t>
  </si>
  <si>
    <t>ANALISTA F</t>
  </si>
  <si>
    <t>Mateo Alvarez</t>
  </si>
  <si>
    <t>Testing</t>
  </si>
  <si>
    <t>Creación de Épicas e Historias de Usuario</t>
  </si>
  <si>
    <t>PROGRAMADOR</t>
  </si>
  <si>
    <t>Nicolas Carmona</t>
  </si>
  <si>
    <t>Construcción del Product Backlog inicial</t>
  </si>
  <si>
    <t>Diseñador</t>
  </si>
  <si>
    <t>ADMIN. BASE DATOS</t>
  </si>
  <si>
    <t>Diseño de arquitectura, modelo de base de datos y mockups</t>
  </si>
  <si>
    <t>Hrs.Sem.</t>
  </si>
  <si>
    <t>TESTING</t>
  </si>
  <si>
    <t>HRS.Mens.</t>
  </si>
  <si>
    <t>Fase 2: Desarrollo e Integración (Sprints)</t>
  </si>
  <si>
    <t xml:space="preserve">DI </t>
  </si>
  <si>
    <t>DISEÑADOR</t>
  </si>
  <si>
    <t>Sueldo/180hrs</t>
  </si>
  <si>
    <t>PROMEDIO</t>
  </si>
  <si>
    <t>Sprint 1 (31/08/2026 – 13/09/2026) — 2 semanas</t>
  </si>
  <si>
    <t>INGENIERO</t>
  </si>
  <si>
    <t>Ingreso Primer Año</t>
  </si>
  <si>
    <t>Ingreso Experiencia</t>
  </si>
  <si>
    <t>ANALISTA PROGRAMADOR</t>
  </si>
  <si>
    <t>• EPICA 01: Reserva de horas de atención — base (E01-HU01)</t>
  </si>
  <si>
    <t>• EPICA 02: Vista de Peluquero / Dueño (E02-HU01..04)</t>
  </si>
  <si>
    <t>Sprint 2 (14/09/2026 – 27/09/2026) — 2 semanas</t>
  </si>
  <si>
    <t>• EPICA 01: Reserva — recomendador y calendario (E01-HU02, E01-HU03)</t>
  </si>
  <si>
    <t>• EPICA 05: Vista del cliente — productos y reseñas (E05-HU01, E05-HU02)</t>
  </si>
  <si>
    <t>Sprint 3 (28/09/2026 – 11/10/2026) — 2 semanas</t>
  </si>
  <si>
    <t>• EPICA 03: Perfil de usuario / autenticación (E03-HU01..04)</t>
  </si>
  <si>
    <t>• EPICA 05: Vista del cliente — acerca de / info local (E05-HU03)</t>
  </si>
  <si>
    <t>Sprint 4 (12/10/2026 – 25/10/2026) — 2 semanas</t>
  </si>
  <si>
    <t>• EPICA 04: Vista Admin — categorías, servicios y productos (E04-HU01..03)</t>
  </si>
  <si>
    <t>• EPICA 07: IA — cuotas e historial de simulaciones (E07-HU02, E07-HU03)</t>
  </si>
  <si>
    <t>Sprint 5 (26/10/2026 – 08/11/2026) — 2 semanas</t>
  </si>
  <si>
    <t>• EPICA 07: IA — simulación de corte (E07-HU01) [OBLIGATORIO]</t>
  </si>
  <si>
    <t>• EPICA 06: Agente WhatsApp (E06-HU01, E06-HU02) [OPCIONAL / NO OBLIGATORIO]</t>
  </si>
  <si>
    <t>Fase 3: Pruebas, Levantamiento y Despliegue</t>
  </si>
  <si>
    <t>Pruebas de calidad (QA), concurrencia y corrección de errores</t>
  </si>
  <si>
    <t>COSTO POR FASE</t>
  </si>
  <si>
    <t>Despliegue en entorno de producción/hosting y configuración</t>
  </si>
  <si>
    <t>Análisis y Planificación</t>
  </si>
  <si>
    <t>Capacitación al usuario final y cierre del proyecto (Sprint Review/Retro)</t>
  </si>
  <si>
    <t xml:space="preserve"> Desarrollo e Integración (Sprints)</t>
  </si>
  <si>
    <t xml:space="preserve"> Pruebas, Levantamiento y Despliegue</t>
  </si>
  <si>
    <t>Total</t>
  </si>
  <si>
    <t>Total HH por Fase</t>
  </si>
  <si>
    <t>COSTO HH POR ROL</t>
  </si>
  <si>
    <t>TOTAL HH</t>
  </si>
  <si>
    <t>COSTO POR COMPONENTE CODIFICACION</t>
  </si>
  <si>
    <t>Análisis y planificación</t>
  </si>
  <si>
    <t>Arquitectura, BD y mockups</t>
  </si>
  <si>
    <t>Reserva cliente</t>
  </si>
  <si>
    <t>Gestión reservas dueño</t>
  </si>
  <si>
    <t>Auth y perfil</t>
  </si>
  <si>
    <t>Vista cliente / productos</t>
  </si>
  <si>
    <t>Admin catálogo</t>
  </si>
  <si>
    <t xml:space="preserve"> IA + WhatsApp + QA/cierre</t>
  </si>
  <si>
    <t>TOTAL CODIFICACION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</si>
</sst>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>
      <b/>
      <sz val="20.0"/>
      <color theme="1"/>
      <name val="Calibri"/>
    </font>
    <font/>
    <font>
      <b/>
      <sz val="10.0"/>
      <color theme="0"/>
      <name val="Calibri"/>
    </font>
    <font>
      <b/>
      <sz val="14.0"/>
      <color rgb="FFFF0000"/>
      <name val="Calibri"/>
    </font>
    <font>
      <b/>
      <sz val="14.0"/>
      <color theme="0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0.0"/>
      <color rgb="FF00000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6.0"/>
      <color rgb="FFFF0000"/>
      <name val="Calibri"/>
    </font>
    <font>
      <sz val="16.0"/>
      <color rgb="FFC00000"/>
      <name val="Calibri"/>
    </font>
    <font>
      <b/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/>
    </xf>
    <xf borderId="3" fillId="2" fontId="5" numFmtId="0" xfId="0" applyAlignment="1" applyBorder="1" applyFill="1" applyFont="1">
      <alignment horizontal="left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3" fontId="4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shrinkToFit="0" wrapText="1"/>
    </xf>
    <xf borderId="8" fillId="4" fontId="7" numFmtId="0" xfId="0" applyBorder="1" applyFill="1" applyFont="1"/>
    <xf borderId="8" fillId="0" fontId="1" numFmtId="0" xfId="0" applyBorder="1" applyFont="1"/>
    <xf borderId="8" fillId="4" fontId="8" numFmtId="0" xfId="0" applyAlignment="1" applyBorder="1" applyFill="1" applyFont="1">
      <alignment horizontal="center"/>
    </xf>
    <xf borderId="8" fillId="0" fontId="1" numFmtId="0" xfId="0" applyAlignment="1" applyBorder="1" applyFont="1">
      <alignment horizontal="center"/>
    </xf>
    <xf borderId="8" fillId="0" fontId="1" numFmtId="9" xfId="0" applyAlignment="1" applyBorder="1" applyFont="1" applyNumberFormat="1">
      <alignment horizontal="center"/>
    </xf>
    <xf borderId="2" fillId="4" fontId="9" numFmtId="0" xfId="0" applyAlignment="1" applyBorder="1" applyFill="1" applyFont="1">
      <alignment horizontal="center"/>
    </xf>
    <xf borderId="7" fillId="2" fontId="1" numFmtId="0" xfId="0" applyAlignment="1" applyBorder="1" applyFill="1" applyFont="1">
      <alignment shrinkToFit="0" wrapText="1"/>
    </xf>
    <xf borderId="2" fillId="4" fontId="9" numFmtId="0" xfId="0" applyAlignment="1" applyBorder="1" applyFill="1" applyFont="1">
      <alignment horizontal="center" shrinkToFit="0" wrapText="1"/>
    </xf>
    <xf borderId="9" fillId="2" fontId="1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ill="1" applyFont="1">
      <alignment horizontal="left" readingOrder="0" shrinkToFit="0" vertical="center" wrapText="1"/>
    </xf>
    <xf borderId="8" fillId="0" fontId="1" numFmtId="164" xfId="0" applyBorder="1" applyFont="1" applyNumberFormat="1"/>
    <xf borderId="5" fillId="2" fontId="1" numFmtId="0" xfId="0" applyBorder="1" applyFill="1" applyFont="1"/>
    <xf borderId="8" fillId="3" fontId="4" numFmtId="0" xfId="0" applyAlignment="1" applyBorder="1" applyFill="1" applyFont="1">
      <alignment shrinkToFit="0" wrapText="1"/>
    </xf>
    <xf borderId="8" fillId="3" fontId="4" numFmtId="0" xfId="0" applyAlignment="1" applyBorder="1" applyFill="1" applyFont="1">
      <alignment horizontal="center" shrinkToFit="0" vertical="center" wrapText="1"/>
    </xf>
    <xf borderId="7" fillId="2" fontId="1" numFmtId="0" xfId="0" applyBorder="1" applyFill="1" applyFont="1"/>
    <xf borderId="8" fillId="5" fontId="11" numFmtId="0" xfId="0" applyAlignment="1" applyBorder="1" applyFill="1" applyFont="1">
      <alignment horizontal="left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1" numFmtId="0" xfId="0" applyBorder="1" applyFill="1" applyFont="1"/>
    <xf borderId="8" fillId="0" fontId="12" numFmtId="0" xfId="0" applyAlignment="1" applyBorder="1" applyFont="1">
      <alignment horizontal="left" readingOrder="0" shrinkToFit="0" vertical="center" wrapText="1"/>
    </xf>
    <xf borderId="8" fillId="2" fontId="1" numFmtId="164" xfId="0" applyAlignment="1" applyBorder="1" applyFill="1" applyFont="1" applyNumberFormat="1">
      <alignment horizontal="center" vertical="center"/>
    </xf>
    <xf borderId="8" fillId="0" fontId="11" numFmtId="0" xfId="0" applyAlignment="1" applyBorder="1" applyFont="1">
      <alignment horizontal="left" readingOrder="0" shrinkToFit="0" vertical="center" wrapText="1"/>
    </xf>
    <xf borderId="0" fillId="0" fontId="13" numFmtId="0" xfId="0" applyFont="1"/>
    <xf borderId="8" fillId="3" fontId="4" numFmtId="0" xfId="0" applyBorder="1" applyFill="1" applyFont="1"/>
    <xf borderId="8" fillId="0" fontId="14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8" fillId="0" fontId="15" numFmtId="0" xfId="0" applyBorder="1" applyFont="1"/>
    <xf borderId="8" fillId="0" fontId="12" numFmtId="0" xfId="0" applyAlignment="1" applyBorder="1" applyFont="1">
      <alignment horizontal="left" shrinkToFit="0" vertical="center" wrapText="1"/>
    </xf>
    <xf borderId="7" fillId="2" fontId="1" numFmtId="0" xfId="0" applyAlignment="1" applyBorder="1" applyFill="1" applyFont="1">
      <alignment horizontal="left"/>
    </xf>
    <xf borderId="0" fillId="2" fontId="1" numFmtId="0" xfId="0" applyAlignment="1" applyFill="1" applyFont="1">
      <alignment horizontal="left"/>
    </xf>
    <xf borderId="1" fillId="2" fontId="1" numFmtId="0" xfId="0" applyAlignment="1" applyBorder="1" applyFill="1" applyFont="1">
      <alignment horizontal="left"/>
    </xf>
    <xf borderId="8" fillId="0" fontId="12" numFmtId="0" xfId="0" applyAlignment="1" applyBorder="1" applyFont="1">
      <alignment horizontal="center" shrinkToFit="0" vertical="center" wrapText="1"/>
    </xf>
    <xf borderId="9" fillId="2" fontId="1" numFmtId="0" xfId="0" applyAlignment="1" applyBorder="1" applyFill="1" applyFont="1">
      <alignment horizontal="left"/>
    </xf>
    <xf borderId="3" fillId="2" fontId="1" numFmtId="0" xfId="0" applyBorder="1" applyFill="1" applyFont="1"/>
    <xf borderId="0" fillId="0" fontId="16" numFmtId="0" xfId="0" applyAlignment="1" applyFont="1">
      <alignment vertical="bottom"/>
    </xf>
    <xf borderId="2" fillId="6" fontId="16" numFmtId="0" xfId="0" applyAlignment="1" applyBorder="1" applyFill="1" applyFont="1">
      <alignment vertical="bottom"/>
    </xf>
    <xf borderId="8" fillId="7" fontId="15" numFmtId="0" xfId="0" applyAlignment="1" applyBorder="1" applyFill="1" applyFont="1">
      <alignment readingOrder="0" vertical="bottom"/>
    </xf>
    <xf borderId="8" fillId="7" fontId="1" numFmtId="164" xfId="0" applyAlignment="1" applyBorder="1" applyFill="1" applyFont="1" applyNumberFormat="1">
      <alignment horizontal="right" vertical="bottom"/>
    </xf>
    <xf borderId="8" fillId="7" fontId="15" numFmtId="0" xfId="0" applyAlignment="1" applyBorder="1" applyFill="1" applyFont="1">
      <alignment readingOrder="0" shrinkToFit="0" vertical="bottom" wrapText="1"/>
    </xf>
    <xf borderId="8" fillId="3" fontId="7" numFmtId="0" xfId="0" applyBorder="1" applyFill="1" applyFont="1"/>
    <xf borderId="8" fillId="7" fontId="15" numFmtId="0" xfId="0" applyAlignment="1" applyBorder="1" applyFill="1" applyFont="1">
      <alignment readingOrder="0" shrinkToFit="0" wrapText="1"/>
    </xf>
    <xf borderId="8" fillId="3" fontId="7" numFmtId="0" xfId="0" applyAlignment="1" applyBorder="1" applyFill="1" applyFont="1">
      <alignment vertical="center"/>
    </xf>
    <xf borderId="8" fillId="2" fontId="17" numFmtId="0" xfId="0" applyAlignment="1" applyBorder="1" applyFill="1" applyFont="1">
      <alignment horizontal="center" vertical="center"/>
    </xf>
    <xf borderId="8" fillId="2" fontId="18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vertical="center"/>
    </xf>
    <xf borderId="8" fillId="8" fontId="19" numFmtId="0" xfId="0" applyAlignment="1" applyBorder="1" applyFill="1" applyFont="1">
      <alignment vertical="bottom"/>
    </xf>
    <xf borderId="8" fillId="7" fontId="19" numFmtId="164" xfId="0" applyAlignment="1" applyBorder="1" applyFill="1" applyFont="1" applyNumberFormat="1">
      <alignment horizontal="right" vertical="bottom"/>
    </xf>
    <xf borderId="10" fillId="2" fontId="1" numFmtId="0" xfId="0" applyBorder="1" applyFill="1" applyFont="1"/>
    <xf borderId="10" fillId="2" fontId="2" numFmtId="0" xfId="0" applyAlignment="1" applyBorder="1" applyFill="1" applyFont="1">
      <alignment horizontal="center"/>
    </xf>
    <xf borderId="10" fillId="2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vertical="bottom"/>
    </xf>
    <xf borderId="8" fillId="7" fontId="1" numFmtId="0" xfId="0" applyAlignment="1" applyBorder="1" applyFill="1" applyFont="1">
      <alignment vertical="bottom"/>
    </xf>
    <xf borderId="8" fillId="7" fontId="1" numFmtId="164" xfId="0" applyAlignment="1" applyBorder="1" applyFill="1" applyFont="1" applyNumberFormat="1">
      <alignment horizontal="center" vertical="bottom"/>
    </xf>
    <xf borderId="8" fillId="7" fontId="19" numFmtId="164" xfId="0" applyAlignment="1" applyBorder="1" applyFill="1" applyFont="1" applyNumberFormat="1">
      <alignment horizontal="center" vertical="bottom"/>
    </xf>
    <xf borderId="9" fillId="7" fontId="1" numFmtId="0" xfId="0" applyAlignment="1" applyBorder="1" applyFill="1" applyFont="1">
      <alignment vertical="bottom"/>
    </xf>
    <xf borderId="8" fillId="6" fontId="16" numFmtId="0" xfId="0" applyAlignment="1" applyBorder="1" applyFill="1" applyFont="1">
      <alignment vertical="bottom"/>
    </xf>
    <xf borderId="8" fillId="6" fontId="1" numFmtId="0" xfId="0" applyAlignment="1" applyBorder="1" applyFill="1" applyFont="1">
      <alignment vertical="bottom"/>
    </xf>
    <xf borderId="8" fillId="0" fontId="12" numFmtId="0" xfId="0" applyAlignment="1" applyBorder="1" applyFont="1">
      <alignment readingOrder="0" shrinkToFit="0" vertical="bottom" wrapText="0"/>
    </xf>
    <xf borderId="8" fillId="0" fontId="12" numFmtId="164" xfId="0" applyAlignment="1" applyBorder="1" applyFont="1" applyNumberFormat="1">
      <alignment horizontal="right" readingOrder="0" shrinkToFit="0" vertical="bottom" wrapText="0"/>
    </xf>
    <xf borderId="8" fillId="7" fontId="19" numFmtId="164" xfId="0" applyAlignment="1" applyBorder="1" applyFill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39</xdr:row>
      <xdr:rowOff>9525</xdr:rowOff>
    </xdr:from>
    <xdr:ext cx="4267200" cy="13239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46.71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10" width="11.43"/>
    <col customWidth="1" min="11" max="11" width="20.57"/>
    <col customWidth="1" min="12" max="12" width="28.86"/>
    <col customWidth="1" min="13" max="13" width="17.57"/>
    <col customWidth="1" min="14" max="26" width="11.43"/>
  </cols>
  <sheetData>
    <row r="1" ht="14.25" customHeight="1">
      <c r="A1" s="1"/>
      <c r="B1" s="3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" t="s">
        <v>3</v>
      </c>
      <c r="B2" s="9"/>
      <c r="C2" s="9"/>
      <c r="D2" s="9"/>
      <c r="E2" s="9"/>
      <c r="F2" s="9"/>
      <c r="G2" s="9"/>
      <c r="H2" s="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B3" s="13"/>
      <c r="C3" s="2"/>
      <c r="D3" s="2"/>
      <c r="E3" s="2"/>
      <c r="F3" s="2"/>
      <c r="G3" s="2"/>
      <c r="H3" s="2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7.0" customHeight="1">
      <c r="A4" s="15" t="s">
        <v>11</v>
      </c>
      <c r="B4" s="17"/>
      <c r="C4" s="20" t="s">
        <v>15</v>
      </c>
      <c r="D4" s="8"/>
      <c r="E4" s="8"/>
      <c r="F4" s="8"/>
      <c r="G4" s="8"/>
      <c r="H4" s="10"/>
      <c r="I4" s="21"/>
      <c r="J4" s="22" t="s">
        <v>16</v>
      </c>
      <c r="K4" s="8"/>
      <c r="L4" s="10"/>
      <c r="M4" s="2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7.0" customHeight="1">
      <c r="A5" s="24" t="s">
        <v>17</v>
      </c>
      <c r="B5" s="12" t="s">
        <v>18</v>
      </c>
      <c r="C5" s="12" t="s">
        <v>12</v>
      </c>
      <c r="D5" s="1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26"/>
      <c r="J5" s="27" t="s">
        <v>4</v>
      </c>
      <c r="K5" s="27" t="s">
        <v>5</v>
      </c>
      <c r="L5" s="27" t="s">
        <v>24</v>
      </c>
      <c r="M5" s="28" t="s">
        <v>25</v>
      </c>
      <c r="N5" s="2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 outlineLevel="1">
      <c r="A6" s="30" t="s">
        <v>26</v>
      </c>
      <c r="B6" s="31">
        <v>0.4</v>
      </c>
      <c r="C6" s="31">
        <v>3.0</v>
      </c>
      <c r="D6" s="32"/>
      <c r="E6" s="32"/>
      <c r="F6" s="32"/>
      <c r="G6" s="32"/>
      <c r="H6" s="32"/>
      <c r="I6" s="26"/>
      <c r="J6" s="33" t="s">
        <v>12</v>
      </c>
      <c r="K6" s="33" t="s">
        <v>28</v>
      </c>
      <c r="L6" s="34" t="s">
        <v>30</v>
      </c>
      <c r="M6" s="35">
        <v>10833.333333333334</v>
      </c>
      <c r="N6" s="2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 outlineLevel="1">
      <c r="A7" s="36" t="s">
        <v>31</v>
      </c>
      <c r="B7" s="31">
        <v>0.4</v>
      </c>
      <c r="C7" s="31">
        <v>3.0</v>
      </c>
      <c r="D7" s="32"/>
      <c r="E7" s="32"/>
      <c r="F7" s="32"/>
      <c r="G7" s="32"/>
      <c r="H7" s="32"/>
      <c r="I7" s="26"/>
      <c r="J7" s="33" t="s">
        <v>19</v>
      </c>
      <c r="K7" s="33" t="s">
        <v>33</v>
      </c>
      <c r="L7" s="34" t="s">
        <v>34</v>
      </c>
      <c r="M7" s="35">
        <v>7222.222222222223</v>
      </c>
      <c r="N7" s="2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 outlineLevel="1">
      <c r="A8" s="36" t="s">
        <v>36</v>
      </c>
      <c r="B8" s="31">
        <v>0.8</v>
      </c>
      <c r="C8" s="31">
        <v>4.0</v>
      </c>
      <c r="D8" s="31">
        <v>2.0</v>
      </c>
      <c r="E8" s="32"/>
      <c r="F8" s="32"/>
      <c r="G8" s="32"/>
      <c r="H8" s="32"/>
      <c r="I8" s="26"/>
      <c r="J8" s="33" t="s">
        <v>20</v>
      </c>
      <c r="K8" s="33" t="s">
        <v>37</v>
      </c>
      <c r="L8" s="34" t="s">
        <v>38</v>
      </c>
      <c r="M8" s="35">
        <v>2777.777777777778</v>
      </c>
      <c r="N8" s="2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 outlineLevel="1">
      <c r="A9" s="36" t="s">
        <v>39</v>
      </c>
      <c r="B9" s="31">
        <v>0.8</v>
      </c>
      <c r="C9" s="31">
        <v>2.0</v>
      </c>
      <c r="D9" s="31">
        <v>4.0</v>
      </c>
      <c r="E9" s="32"/>
      <c r="F9" s="32"/>
      <c r="G9" s="32"/>
      <c r="H9" s="32"/>
      <c r="I9" s="26"/>
      <c r="J9" s="33" t="s">
        <v>21</v>
      </c>
      <c r="K9" s="33" t="s">
        <v>41</v>
      </c>
      <c r="L9" s="34" t="s">
        <v>38</v>
      </c>
      <c r="M9" s="35">
        <v>3611.1111111111113</v>
      </c>
      <c r="N9" s="2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 outlineLevel="1">
      <c r="A10" s="36" t="s">
        <v>42</v>
      </c>
      <c r="B10" s="31">
        <v>2.3</v>
      </c>
      <c r="C10" s="31">
        <v>2.0</v>
      </c>
      <c r="D10" s="31">
        <v>4.0</v>
      </c>
      <c r="E10" s="31">
        <v>4.0</v>
      </c>
      <c r="F10" s="32"/>
      <c r="G10" s="31">
        <v>4.0</v>
      </c>
      <c r="H10" s="31">
        <v>4.0</v>
      </c>
      <c r="I10" s="26"/>
      <c r="J10" s="33" t="s">
        <v>22</v>
      </c>
      <c r="K10" s="33" t="s">
        <v>44</v>
      </c>
      <c r="L10" s="34" t="s">
        <v>34</v>
      </c>
      <c r="M10" s="35">
        <v>2777.777777777778</v>
      </c>
      <c r="N10" s="2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24" t="s">
        <v>46</v>
      </c>
      <c r="B11" s="12" t="s">
        <v>18</v>
      </c>
      <c r="C11" s="12" t="s">
        <v>12</v>
      </c>
      <c r="D11" s="12" t="s">
        <v>19</v>
      </c>
      <c r="E11" s="12" t="s">
        <v>20</v>
      </c>
      <c r="F11" s="12" t="s">
        <v>21</v>
      </c>
      <c r="G11" s="12" t="s">
        <v>22</v>
      </c>
      <c r="H11" s="12" t="s">
        <v>23</v>
      </c>
      <c r="I11" s="26"/>
      <c r="J11" s="33" t="s">
        <v>47</v>
      </c>
      <c r="K11" s="33" t="s">
        <v>48</v>
      </c>
      <c r="L11" s="34" t="s">
        <v>30</v>
      </c>
      <c r="M11" s="35">
        <v>2777.777777777778</v>
      </c>
      <c r="N11" s="2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 outlineLevel="1">
      <c r="A12" s="39" t="s">
        <v>51</v>
      </c>
      <c r="B12" s="40"/>
      <c r="C12" s="42"/>
      <c r="D12" s="42"/>
      <c r="E12" s="42"/>
      <c r="F12" s="42"/>
      <c r="G12" s="42"/>
      <c r="H12" s="42"/>
      <c r="I12" s="43"/>
      <c r="J12" s="44"/>
      <c r="K12" s="44"/>
      <c r="L12" s="44"/>
      <c r="M12" s="44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7.0" customHeight="1" outlineLevel="1">
      <c r="A13" s="39" t="s">
        <v>56</v>
      </c>
      <c r="B13" s="31">
        <v>4.0</v>
      </c>
      <c r="C13" s="32"/>
      <c r="D13" s="31">
        <v>6.0</v>
      </c>
      <c r="E13" s="31">
        <v>18.0</v>
      </c>
      <c r="F13" s="31">
        <v>4.0</v>
      </c>
      <c r="G13" s="31">
        <v>2.0</v>
      </c>
      <c r="H13" s="31">
        <v>2.0</v>
      </c>
      <c r="I13" s="43"/>
      <c r="J13" s="44"/>
      <c r="K13" s="44"/>
      <c r="L13" s="44"/>
      <c r="M13" s="44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27.0" customHeight="1" outlineLevel="1">
      <c r="A14" s="39" t="s">
        <v>57</v>
      </c>
      <c r="B14" s="31">
        <v>4.8</v>
      </c>
      <c r="C14" s="32"/>
      <c r="D14" s="31">
        <v>6.0</v>
      </c>
      <c r="E14" s="31">
        <v>20.0</v>
      </c>
      <c r="F14" s="31">
        <v>2.0</v>
      </c>
      <c r="G14" s="31">
        <v>4.0</v>
      </c>
      <c r="H14" s="31">
        <v>6.0</v>
      </c>
      <c r="I14" s="43"/>
      <c r="J14" s="44"/>
      <c r="K14" s="44"/>
      <c r="L14" s="44"/>
      <c r="M14" s="44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27.0" customHeight="1" outlineLevel="1">
      <c r="A15" s="39" t="s">
        <v>58</v>
      </c>
      <c r="B15" s="46"/>
      <c r="C15" s="32"/>
      <c r="D15" s="32"/>
      <c r="E15" s="32"/>
      <c r="F15" s="32"/>
      <c r="G15" s="32"/>
      <c r="H15" s="32"/>
      <c r="I15" s="43"/>
      <c r="J15" s="44"/>
      <c r="K15" s="44"/>
      <c r="L15" s="44"/>
      <c r="M15" s="44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27.0" customHeight="1" outlineLevel="1">
      <c r="A16" s="39" t="s">
        <v>59</v>
      </c>
      <c r="B16" s="31">
        <v>4.3</v>
      </c>
      <c r="C16" s="32"/>
      <c r="D16" s="31">
        <v>6.0</v>
      </c>
      <c r="E16" s="31">
        <v>20.0</v>
      </c>
      <c r="F16" s="31">
        <v>2.0</v>
      </c>
      <c r="G16" s="31">
        <v>2.0</v>
      </c>
      <c r="H16" s="31">
        <v>4.0</v>
      </c>
      <c r="I16" s="43"/>
      <c r="J16" s="44"/>
      <c r="K16" s="44"/>
      <c r="L16" s="44"/>
      <c r="M16" s="44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27.0" customHeight="1" outlineLevel="1">
      <c r="A17" s="39" t="s">
        <v>60</v>
      </c>
      <c r="B17" s="31">
        <v>4.5</v>
      </c>
      <c r="C17" s="32"/>
      <c r="D17" s="31">
        <v>4.0</v>
      </c>
      <c r="E17" s="31">
        <v>18.0</v>
      </c>
      <c r="F17" s="31">
        <v>2.0</v>
      </c>
      <c r="G17" s="31">
        <v>4.0</v>
      </c>
      <c r="H17" s="31">
        <v>8.0</v>
      </c>
      <c r="I17" s="43"/>
      <c r="J17" s="44"/>
      <c r="K17" s="44"/>
      <c r="L17" s="44"/>
      <c r="M17" s="44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27.0" customHeight="1" outlineLevel="1">
      <c r="A18" s="39" t="s">
        <v>61</v>
      </c>
      <c r="B18" s="46"/>
      <c r="C18" s="32"/>
      <c r="D18" s="32"/>
      <c r="E18" s="32"/>
      <c r="F18" s="32"/>
      <c r="G18" s="32"/>
      <c r="H18" s="32"/>
      <c r="I18" s="43"/>
      <c r="J18" s="44"/>
      <c r="K18" s="44"/>
      <c r="L18" s="44"/>
      <c r="M18" s="44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27.0" customHeight="1" outlineLevel="1">
      <c r="A19" s="39" t="s">
        <v>62</v>
      </c>
      <c r="B19" s="31">
        <v>5.3</v>
      </c>
      <c r="C19" s="32"/>
      <c r="D19" s="31">
        <v>6.0</v>
      </c>
      <c r="E19" s="31">
        <v>24.0</v>
      </c>
      <c r="F19" s="31">
        <v>4.0</v>
      </c>
      <c r="G19" s="31">
        <v>4.0</v>
      </c>
      <c r="H19" s="31">
        <v>4.0</v>
      </c>
      <c r="I19" s="43"/>
      <c r="J19" s="44"/>
      <c r="K19" s="44"/>
      <c r="L19" s="44"/>
      <c r="M19" s="4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27.0" customHeight="1" outlineLevel="1">
      <c r="A20" s="39" t="s">
        <v>63</v>
      </c>
      <c r="B20" s="31">
        <v>3.5</v>
      </c>
      <c r="C20" s="32"/>
      <c r="D20" s="31">
        <v>4.0</v>
      </c>
      <c r="E20" s="31">
        <v>12.0</v>
      </c>
      <c r="F20" s="31">
        <v>2.0</v>
      </c>
      <c r="G20" s="31">
        <v>2.0</v>
      </c>
      <c r="H20" s="31">
        <v>8.0</v>
      </c>
      <c r="I20" s="43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27.0" customHeight="1" outlineLevel="1">
      <c r="A21" s="39" t="s">
        <v>64</v>
      </c>
      <c r="B21" s="46"/>
      <c r="C21" s="32"/>
      <c r="D21" s="32"/>
      <c r="E21" s="32"/>
      <c r="F21" s="32"/>
      <c r="G21" s="32"/>
      <c r="H21" s="32"/>
      <c r="I21" s="43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27.0" customHeight="1" outlineLevel="1">
      <c r="A22" s="39" t="s">
        <v>65</v>
      </c>
      <c r="B22" s="31">
        <v>4.5</v>
      </c>
      <c r="C22" s="32"/>
      <c r="D22" s="31">
        <v>4.0</v>
      </c>
      <c r="E22" s="31">
        <v>20.0</v>
      </c>
      <c r="F22" s="31">
        <v>2.0</v>
      </c>
      <c r="G22" s="31">
        <v>4.0</v>
      </c>
      <c r="H22" s="31">
        <v>6.0</v>
      </c>
      <c r="I22" s="43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27.0" customHeight="1" outlineLevel="1">
      <c r="A23" s="39" t="s">
        <v>66</v>
      </c>
      <c r="B23" s="31">
        <v>4.3</v>
      </c>
      <c r="C23" s="31">
        <v>2.0</v>
      </c>
      <c r="D23" s="31">
        <v>4.0</v>
      </c>
      <c r="E23" s="31">
        <v>18.0</v>
      </c>
      <c r="F23" s="31">
        <v>4.0</v>
      </c>
      <c r="G23" s="31">
        <v>2.0</v>
      </c>
      <c r="H23" s="31">
        <v>4.0</v>
      </c>
      <c r="I23" s="43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27.0" customHeight="1" outlineLevel="1">
      <c r="A24" s="39" t="s">
        <v>67</v>
      </c>
      <c r="B24" s="46"/>
      <c r="C24" s="32"/>
      <c r="D24" s="32"/>
      <c r="E24" s="32"/>
      <c r="F24" s="32"/>
      <c r="G24" s="32"/>
      <c r="H24" s="32"/>
      <c r="I24" s="43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27.0" customHeight="1" outlineLevel="1">
      <c r="A25" s="39" t="s">
        <v>68</v>
      </c>
      <c r="B25" s="31">
        <v>5.8</v>
      </c>
      <c r="C25" s="31">
        <v>2.0</v>
      </c>
      <c r="D25" s="31">
        <v>6.0</v>
      </c>
      <c r="E25" s="31">
        <v>24.0</v>
      </c>
      <c r="F25" s="31">
        <v>4.0</v>
      </c>
      <c r="G25" s="31">
        <v>4.0</v>
      </c>
      <c r="H25" s="31">
        <v>6.0</v>
      </c>
      <c r="I25" s="43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27.0" customHeight="1" outlineLevel="1">
      <c r="A26" s="39" t="s">
        <v>69</v>
      </c>
      <c r="B26" s="31">
        <v>3.0</v>
      </c>
      <c r="C26" s="31">
        <v>1.0</v>
      </c>
      <c r="D26" s="31">
        <v>4.0</v>
      </c>
      <c r="E26" s="31">
        <v>12.0</v>
      </c>
      <c r="F26" s="32"/>
      <c r="G26" s="31">
        <v>2.0</v>
      </c>
      <c r="H26" s="31">
        <v>5.0</v>
      </c>
      <c r="I26" s="43"/>
      <c r="J26" s="45"/>
      <c r="K26" s="45"/>
      <c r="L26" s="47"/>
      <c r="M26" s="47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27.0" customHeight="1">
      <c r="A27" s="24" t="s">
        <v>70</v>
      </c>
      <c r="B27" s="12" t="s">
        <v>18</v>
      </c>
      <c r="C27" s="12" t="s">
        <v>12</v>
      </c>
      <c r="D27" s="12" t="s">
        <v>19</v>
      </c>
      <c r="E27" s="12" t="s">
        <v>20</v>
      </c>
      <c r="F27" s="12" t="s">
        <v>21</v>
      </c>
      <c r="G27" s="12" t="s">
        <v>22</v>
      </c>
      <c r="H27" s="12" t="s">
        <v>23</v>
      </c>
      <c r="I27" s="29"/>
      <c r="J27" s="1"/>
      <c r="K27" s="48"/>
      <c r="L27" s="49"/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 outlineLevel="1">
      <c r="A28" s="36" t="s">
        <v>71</v>
      </c>
      <c r="B28" s="31">
        <v>3.1</v>
      </c>
      <c r="C28" s="31">
        <v>1.0</v>
      </c>
      <c r="D28" s="31">
        <v>2.0</v>
      </c>
      <c r="E28" s="31">
        <v>4.0</v>
      </c>
      <c r="F28" s="31">
        <v>2.0</v>
      </c>
      <c r="G28" s="31">
        <v>16.0</v>
      </c>
      <c r="H28" s="32"/>
      <c r="I28" s="29"/>
      <c r="J28" s="1"/>
      <c r="K28" s="48"/>
      <c r="L28" s="50" t="s">
        <v>72</v>
      </c>
      <c r="M28" s="10"/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 outlineLevel="1">
      <c r="A29" s="36" t="s">
        <v>73</v>
      </c>
      <c r="B29" s="31">
        <v>3.6</v>
      </c>
      <c r="C29" s="31">
        <v>1.0</v>
      </c>
      <c r="D29" s="31">
        <v>4.0</v>
      </c>
      <c r="E29" s="31">
        <v>8.0</v>
      </c>
      <c r="F29" s="31">
        <v>4.0</v>
      </c>
      <c r="G29" s="31">
        <v>8.0</v>
      </c>
      <c r="H29" s="31">
        <v>4.0</v>
      </c>
      <c r="I29" s="29"/>
      <c r="J29" s="1"/>
      <c r="K29" s="1"/>
      <c r="L29" s="51" t="s">
        <v>74</v>
      </c>
      <c r="M29" s="52">
        <f>SUM(C6:C11)*M6+SUM(D7:D11)*M7+SUM(E7:E11)*M8+SUM(F7:F11)*M9+SUM(G7:G11)*M10+SUM(H7:H11)*M11</f>
        <v>257222.2222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 outlineLevel="2">
      <c r="A30" s="36" t="s">
        <v>75</v>
      </c>
      <c r="B30" s="31">
        <v>3.1</v>
      </c>
      <c r="C30" s="31">
        <v>2.0</v>
      </c>
      <c r="D30" s="31">
        <v>5.0</v>
      </c>
      <c r="E30" s="46"/>
      <c r="F30" s="31">
        <v>2.0</v>
      </c>
      <c r="G30" s="31">
        <v>16.0</v>
      </c>
      <c r="H30" s="46"/>
      <c r="I30" s="29"/>
      <c r="J30" s="1"/>
      <c r="K30" s="1"/>
      <c r="L30" s="53" t="s">
        <v>76</v>
      </c>
      <c r="M30" s="52">
        <f>SUM(C12:C27)*M6+SUM(D12:D27)*M7+SUM(E12:E27)*M8+SUM(F12:F27)*M9+SUM(G12:G27)*M10+SUM(H12:H27)*M11</f>
        <v>1256388.889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 outlineLevel="1">
      <c r="A31" s="54"/>
      <c r="B31" s="12" t="s">
        <v>18</v>
      </c>
      <c r="C31" s="12" t="s">
        <v>12</v>
      </c>
      <c r="D31" s="12" t="s">
        <v>19</v>
      </c>
      <c r="E31" s="12" t="s">
        <v>20</v>
      </c>
      <c r="F31" s="12" t="s">
        <v>21</v>
      </c>
      <c r="G31" s="12" t="s">
        <v>22</v>
      </c>
      <c r="H31" s="12" t="s">
        <v>23</v>
      </c>
      <c r="I31" s="29"/>
      <c r="J31" s="1"/>
      <c r="K31" s="1"/>
      <c r="L31" s="55" t="s">
        <v>77</v>
      </c>
      <c r="M31" s="52">
        <f>SUM(C28:C30)*M6+SUM(D28:D30)*M7+SUM(E28:E30)*M8+SUM(F28:F30)*M9+SUM(G28:G30)*M10+SUM(H28:H30)*M11</f>
        <v>307222.2222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56" t="s">
        <v>78</v>
      </c>
      <c r="B32" s="57">
        <f t="shared" ref="B32:H32" si="1">SUM(B6:B30)</f>
        <v>58.5</v>
      </c>
      <c r="C32" s="58">
        <f t="shared" si="1"/>
        <v>23</v>
      </c>
      <c r="D32" s="58">
        <f t="shared" si="1"/>
        <v>71</v>
      </c>
      <c r="E32" s="58">
        <f t="shared" si="1"/>
        <v>202</v>
      </c>
      <c r="F32" s="58">
        <f t="shared" si="1"/>
        <v>34</v>
      </c>
      <c r="G32" s="58">
        <f t="shared" si="1"/>
        <v>74</v>
      </c>
      <c r="H32" s="58">
        <f t="shared" si="1"/>
        <v>61</v>
      </c>
      <c r="I32" s="59"/>
      <c r="J32" s="60"/>
      <c r="K32" s="60"/>
      <c r="L32" s="61" t="s">
        <v>79</v>
      </c>
      <c r="M32" s="62">
        <f>SUM(M28:M31)</f>
        <v>1820833.333</v>
      </c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7.0" customHeight="1">
      <c r="A33" s="63"/>
      <c r="B33" s="64"/>
      <c r="C33" s="65"/>
      <c r="D33" s="65"/>
      <c r="E33" s="65"/>
      <c r="F33" s="65"/>
      <c r="G33" s="65"/>
      <c r="H33" s="65"/>
      <c r="I33" s="1"/>
      <c r="J33" s="1"/>
      <c r="K33" s="1"/>
      <c r="L33" s="66"/>
      <c r="M33" s="6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3"/>
      <c r="C34" s="4"/>
      <c r="D34" s="4"/>
      <c r="E34" s="4"/>
      <c r="F34" s="4"/>
      <c r="G34" s="4"/>
      <c r="H34" s="4"/>
      <c r="I34" s="1"/>
      <c r="J34" s="1"/>
      <c r="K34" s="1"/>
      <c r="L34" s="50" t="s">
        <v>80</v>
      </c>
      <c r="M34" s="1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3"/>
      <c r="C35" s="4"/>
      <c r="D35" s="4"/>
      <c r="E35" s="4"/>
      <c r="F35" s="4"/>
      <c r="G35" s="4"/>
      <c r="H35" s="4"/>
      <c r="I35" s="1"/>
      <c r="J35" s="1"/>
      <c r="K35" s="1"/>
      <c r="L35" s="67" t="s">
        <v>28</v>
      </c>
      <c r="M35" s="68">
        <f>C32*M6</f>
        <v>249166.6667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3"/>
      <c r="C36" s="4"/>
      <c r="D36" s="4"/>
      <c r="E36" s="4"/>
      <c r="F36" s="4"/>
      <c r="G36" s="4"/>
      <c r="H36" s="4"/>
      <c r="I36" s="1"/>
      <c r="J36" s="1"/>
      <c r="K36" s="1"/>
      <c r="L36" s="67" t="s">
        <v>33</v>
      </c>
      <c r="M36" s="68">
        <f>D32*M7</f>
        <v>512777.7778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3"/>
      <c r="C37" s="4"/>
      <c r="D37" s="4"/>
      <c r="E37" s="4"/>
      <c r="F37" s="4"/>
      <c r="G37" s="4"/>
      <c r="H37" s="4"/>
      <c r="I37" s="1"/>
      <c r="J37" s="1"/>
      <c r="K37" s="1"/>
      <c r="L37" s="67" t="s">
        <v>37</v>
      </c>
      <c r="M37" s="68">
        <f>E32*M8</f>
        <v>561111.1111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3"/>
      <c r="C38" s="4"/>
      <c r="D38" s="4"/>
      <c r="E38" s="4"/>
      <c r="F38" s="4"/>
      <c r="G38" s="4"/>
      <c r="H38" s="4"/>
      <c r="I38" s="1"/>
      <c r="J38" s="1"/>
      <c r="K38" s="1"/>
      <c r="L38" s="67" t="s">
        <v>41</v>
      </c>
      <c r="M38" s="68">
        <f>F32*M9</f>
        <v>122777.7778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3"/>
      <c r="C39" s="4"/>
      <c r="D39" s="4"/>
      <c r="E39" s="4"/>
      <c r="F39" s="4"/>
      <c r="G39" s="4"/>
      <c r="H39" s="4"/>
      <c r="I39" s="1"/>
      <c r="J39" s="1"/>
      <c r="K39" s="1"/>
      <c r="L39" s="67" t="s">
        <v>44</v>
      </c>
      <c r="M39" s="68">
        <f>G32*M10</f>
        <v>205555.5556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3"/>
      <c r="C40" s="4"/>
      <c r="D40" s="4"/>
      <c r="E40" s="4"/>
      <c r="F40" s="4"/>
      <c r="G40" s="4"/>
      <c r="H40" s="4"/>
      <c r="I40" s="1"/>
      <c r="J40" s="1"/>
      <c r="K40" s="1"/>
      <c r="L40" s="67" t="s">
        <v>48</v>
      </c>
      <c r="M40" s="68">
        <f>H32*M11</f>
        <v>169444.4444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3"/>
      <c r="C41" s="4"/>
      <c r="D41" s="4"/>
      <c r="E41" s="4"/>
      <c r="F41" s="4"/>
      <c r="G41" s="4"/>
      <c r="H41" s="4"/>
      <c r="I41" s="1"/>
      <c r="J41" s="1"/>
      <c r="K41" s="1"/>
      <c r="L41" s="61" t="s">
        <v>81</v>
      </c>
      <c r="M41" s="69">
        <f>SUM(M35:M40)</f>
        <v>1820833.333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3"/>
      <c r="C42" s="4"/>
      <c r="D42" s="4"/>
      <c r="E42" s="4"/>
      <c r="F42" s="4"/>
      <c r="G42" s="4"/>
      <c r="H42" s="4"/>
      <c r="I42" s="1"/>
      <c r="J42" s="1"/>
      <c r="K42" s="1"/>
      <c r="L42" s="66"/>
      <c r="M42" s="66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3"/>
      <c r="C43" s="4"/>
      <c r="D43" s="4"/>
      <c r="E43" s="4"/>
      <c r="F43" s="4"/>
      <c r="G43" s="4"/>
      <c r="H43" s="4"/>
      <c r="I43" s="1"/>
      <c r="J43" s="1"/>
      <c r="K43" s="1"/>
      <c r="L43" s="70"/>
      <c r="M43" s="7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1.5" customHeight="1">
      <c r="A44" s="1"/>
      <c r="B44" s="3"/>
      <c r="C44" s="4"/>
      <c r="D44" s="4"/>
      <c r="E44" s="4"/>
      <c r="F44" s="4"/>
      <c r="G44" s="4"/>
      <c r="H44" s="4"/>
      <c r="I44" s="1"/>
      <c r="J44" s="1"/>
      <c r="K44" s="48"/>
      <c r="L44" s="71" t="s">
        <v>82</v>
      </c>
      <c r="M44" s="72"/>
      <c r="N44" s="29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1.5" customHeight="1">
      <c r="A45" s="1"/>
      <c r="B45" s="3"/>
      <c r="C45" s="4"/>
      <c r="D45" s="4"/>
      <c r="E45" s="4"/>
      <c r="F45" s="4"/>
      <c r="G45" s="4"/>
      <c r="H45" s="4"/>
      <c r="I45" s="1"/>
      <c r="J45" s="1"/>
      <c r="K45" s="48"/>
      <c r="L45" s="73" t="s">
        <v>83</v>
      </c>
      <c r="M45" s="74">
        <f>C6*$M$6+D6*$M$7+E6*$M$8+F6*$M$9+G6*$M$10+H6*$M$11+C7*$M$6+D7*$M$7+E7*$M$8+F7*$M$9+G7*$M$10+H7*$M$11+C8*$M$6+D8*$M$7+E8*$M$8+F8*$M$9+G8*$M$10+H8*$M$11+C9*$M$6+D9*$M$7+E9*$M$8+F9*$M$9+G9*$M$10+H9*$M$11</f>
        <v>173333.3333</v>
      </c>
      <c r="N45" s="2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1.5" customHeight="1">
      <c r="A46" s="1"/>
      <c r="B46" s="3"/>
      <c r="C46" s="4"/>
      <c r="D46" s="4"/>
      <c r="E46" s="4"/>
      <c r="F46" s="4"/>
      <c r="G46" s="4"/>
      <c r="H46" s="4"/>
      <c r="I46" s="1"/>
      <c r="J46" s="1"/>
      <c r="K46" s="48"/>
      <c r="L46" s="73" t="s">
        <v>84</v>
      </c>
      <c r="M46" s="74">
        <f>C10*$M$6+D10*$M$7+E10*$M$8+F10*$M$9+G10*$M$10+H10*$M$11</f>
        <v>83888.88889</v>
      </c>
      <c r="N46" s="2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1.5" customHeight="1">
      <c r="A47" s="1"/>
      <c r="B47" s="3"/>
      <c r="C47" s="4"/>
      <c r="D47" s="4"/>
      <c r="E47" s="4"/>
      <c r="F47" s="4"/>
      <c r="G47" s="4"/>
      <c r="H47" s="4"/>
      <c r="I47" s="1"/>
      <c r="J47" s="1"/>
      <c r="K47" s="48"/>
      <c r="L47" s="73" t="s">
        <v>85</v>
      </c>
      <c r="M47" s="74">
        <f>C13*$M$6+D13*$M$7+E13*$M$8+F13*$M$9+G13*$M$10+H13*$M$11+C16*$M$6+D16*$M$7+E16*$M$8+F16*$M$9+G16*$M$10+H16*$M$11</f>
        <v>241666.6667</v>
      </c>
      <c r="N47" s="2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1.5" customHeight="1">
      <c r="A48" s="1"/>
      <c r="B48" s="3"/>
      <c r="C48" s="4"/>
      <c r="D48" s="4"/>
      <c r="E48" s="4"/>
      <c r="F48" s="4"/>
      <c r="G48" s="4"/>
      <c r="H48" s="4"/>
      <c r="I48" s="1"/>
      <c r="J48" s="1"/>
      <c r="K48" s="48"/>
      <c r="L48" s="73" t="s">
        <v>86</v>
      </c>
      <c r="M48" s="74">
        <f>C14*$M$6+D14*$M$7+E14*$M$8+F14*$M$9+G14*$M$10+H14*$M$11</f>
        <v>133888.8889</v>
      </c>
      <c r="N48" s="2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5" customHeight="1">
      <c r="A49" s="1"/>
      <c r="B49" s="3"/>
      <c r="C49" s="4"/>
      <c r="D49" s="4"/>
      <c r="E49" s="4"/>
      <c r="F49" s="4"/>
      <c r="G49" s="4"/>
      <c r="H49" s="4"/>
      <c r="I49" s="1"/>
      <c r="J49" s="1"/>
      <c r="K49" s="48"/>
      <c r="L49" s="73" t="s">
        <v>87</v>
      </c>
      <c r="M49" s="74">
        <f>C19*$M$6+D19*$M$7+E19*$M$8+F19*$M$9+G19*$M$10+H19*$M$11</f>
        <v>146666.6667</v>
      </c>
      <c r="N49" s="2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1.5" customHeight="1">
      <c r="A50" s="1"/>
      <c r="B50" s="3"/>
      <c r="C50" s="4"/>
      <c r="D50" s="4"/>
      <c r="E50" s="4"/>
      <c r="F50" s="4"/>
      <c r="G50" s="4"/>
      <c r="H50" s="4"/>
      <c r="I50" s="1"/>
      <c r="J50" s="1"/>
      <c r="K50" s="48"/>
      <c r="L50" s="73" t="s">
        <v>88</v>
      </c>
      <c r="M50" s="74">
        <f>C17*$M$6+D17*$M$7+E17*$M$8+F17*$M$9+G17*$M$10+H17*$M$11+C20*$M$6+D20*$M$7+E20*$M$8+F20*$M$9+G20*$M$10+H20*$M$11</f>
        <v>216666.6667</v>
      </c>
      <c r="N50" s="2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1.5" customHeight="1">
      <c r="A51" s="1"/>
      <c r="B51" s="3"/>
      <c r="C51" s="4"/>
      <c r="D51" s="4"/>
      <c r="E51" s="4"/>
      <c r="F51" s="4"/>
      <c r="G51" s="4"/>
      <c r="H51" s="4"/>
      <c r="I51" s="1"/>
      <c r="J51" s="1"/>
      <c r="K51" s="48"/>
      <c r="L51" s="73" t="s">
        <v>89</v>
      </c>
      <c r="M51" s="74">
        <f>C22*$M$6+D22*$M$7+E22*$M$8+F22*$M$9+G22*$M$10+H22*$M$11</f>
        <v>119444.4444</v>
      </c>
      <c r="N51" s="2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1.5" customHeight="1">
      <c r="A52" s="1"/>
      <c r="B52" s="3"/>
      <c r="C52" s="4"/>
      <c r="D52" s="4"/>
      <c r="E52" s="4"/>
      <c r="F52" s="4"/>
      <c r="G52" s="4"/>
      <c r="H52" s="4"/>
      <c r="I52" s="1"/>
      <c r="J52" s="1"/>
      <c r="K52" s="48"/>
      <c r="L52" s="73" t="s">
        <v>90</v>
      </c>
      <c r="M52" s="74">
        <f>C23*$M$6+D23*$M$7+E23*$M$8+F23*$M$9+G23*$M$10+H23*$M$11+C25*$M$6+D25*$M$7+E25*$M$8+F25*$M$9+G25*$M$10+H25*$M$11+C26*$M$6+D26*$M$7+E26*$M$8+F26*$M$9+G26*$M$10+H26*$M$11+C28*$M$6+D28*$M$7+E28*$M$8+F28*$M$9+G28*$M$10+H28*$M$11+C29*$M$6+D29*$M$7+E29*$M$8+F29*$M$9+G29*$M$10+H29*$M$11+C30*$M$6+D30*$M$7+E30*$M$8+F30*$M$9+G30*$M$10+H30*$M$11</f>
        <v>705277.7778</v>
      </c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3"/>
      <c r="C53" s="4"/>
      <c r="D53" s="4"/>
      <c r="E53" s="4"/>
      <c r="F53" s="4"/>
      <c r="G53" s="4"/>
      <c r="H53" s="4"/>
      <c r="I53" s="1"/>
      <c r="J53" s="1"/>
      <c r="K53" s="48"/>
      <c r="L53" s="61" t="s">
        <v>91</v>
      </c>
      <c r="M53" s="75">
        <f>SUM(M45:M52)</f>
        <v>1820833.333</v>
      </c>
      <c r="N53" s="2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3"/>
      <c r="C54" s="4"/>
      <c r="D54" s="4"/>
      <c r="E54" s="4"/>
      <c r="F54" s="4"/>
      <c r="G54" s="4"/>
      <c r="H54" s="4"/>
      <c r="I54" s="1"/>
      <c r="J54" s="1"/>
      <c r="K54" s="1"/>
      <c r="L54" s="63"/>
      <c r="M54" s="6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0.25" customHeight="1">
      <c r="A55" s="1"/>
      <c r="B55" s="3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3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3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3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3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3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3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3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3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3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3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3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3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3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3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3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3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3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3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3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3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3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3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3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3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3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3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3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3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3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3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3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3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3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3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3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3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3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3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3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3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3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3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3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3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3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3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3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3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3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3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3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3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3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3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3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3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3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3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3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3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3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3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3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3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3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3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3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3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3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3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3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3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3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3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3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3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3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3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3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3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3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3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3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3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3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3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3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3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3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3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3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3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3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3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3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3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3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3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3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3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3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3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3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3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3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3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3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3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3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3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3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3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3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3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3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3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3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3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3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3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3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3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3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3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3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3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3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3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3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3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3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3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3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3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3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3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3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3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3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3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3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3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3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3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3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3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3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3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3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3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3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3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3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3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3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3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3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3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3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3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3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3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3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3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3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3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3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3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3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3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3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3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3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3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3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3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3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3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3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3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3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3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3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3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3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3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3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3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3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3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3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3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3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3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3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3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3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3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3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3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3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3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3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3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3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3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3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3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3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3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3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3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3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3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3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3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3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3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3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3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3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3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3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3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3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3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3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3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3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3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3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3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3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3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3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3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3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3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3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3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3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3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3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3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3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3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3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3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3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3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3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3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3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3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3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3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3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3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3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3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3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3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3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3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3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3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3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3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3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3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3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3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3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3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3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3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3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3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3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3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3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3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3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3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3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3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3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3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3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3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3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3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3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3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3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3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3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3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3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3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3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3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3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3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3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3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3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3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3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3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3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3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3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3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3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3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3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3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3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3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3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3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3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3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3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3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3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3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3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3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3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3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3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3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3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3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3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3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3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3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3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3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3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3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3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3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3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3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3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3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3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3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3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3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3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3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3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3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3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3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3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3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3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3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3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3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3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3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3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3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3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3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3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3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3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3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3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3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3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3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3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3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3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3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3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3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3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3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3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3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3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3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3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3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3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3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3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3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3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3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3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3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3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3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3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3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3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3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3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3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3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3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3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3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3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3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3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3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3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3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3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3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3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3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3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3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3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3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3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3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3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3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3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3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3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3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3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3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3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3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3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3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3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3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3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3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3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3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3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3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3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3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3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3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3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3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3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3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3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3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3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3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3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3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3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3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3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3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3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3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3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3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3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3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3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3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3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3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3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3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3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3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3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3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3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3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3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3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3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3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3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3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3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3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3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3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3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3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3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3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3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3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3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3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3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3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3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3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3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3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3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3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3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3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3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3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3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3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3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3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3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3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3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3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3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3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3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3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3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3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3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3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3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3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3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3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3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3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3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3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3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3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3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3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3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3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3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3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3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3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3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3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3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3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3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3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3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3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3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3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3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3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3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3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3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3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3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3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3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3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3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3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3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3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3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3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3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3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3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3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3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3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3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3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3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3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3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3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3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3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3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3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3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3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3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3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3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3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3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3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3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3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3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3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3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3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3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3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3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3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3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3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3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3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3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3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3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3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3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3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3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3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3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3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3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3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3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3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3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3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3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3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3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3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3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3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3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3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3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3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3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3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3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3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3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3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3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3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3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3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3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3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3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3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3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3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3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3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3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3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3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3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3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3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3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3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3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3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3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3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3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3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3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3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3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3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3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3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3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3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3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3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3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3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3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3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3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3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3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3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3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3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3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3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3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3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3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3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3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3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3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3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3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3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3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3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3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3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3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3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3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3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3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3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3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3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3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3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3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3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3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3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3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3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3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3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3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3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3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3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3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3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3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3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3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3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3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3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3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3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3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3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3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3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3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3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3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3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3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3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3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3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3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3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3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3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3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3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3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3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3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3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3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3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3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3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3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3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3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3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3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3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3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3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3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3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3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3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3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3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3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3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3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3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3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3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3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3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3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3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3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3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3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3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3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3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3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3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3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3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3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3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3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3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3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3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3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3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3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3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3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3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3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3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3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3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3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3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3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3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3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3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3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3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3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3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3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3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3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3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3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3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3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3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3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3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3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3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3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3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3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3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3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3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3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3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3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3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3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3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3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3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3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3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3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3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3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3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3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3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3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3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3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3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3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3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3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3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3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3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3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3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3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3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3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3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3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3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3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3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3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3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3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3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3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3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3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3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3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3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3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3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3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3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3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3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3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3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3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3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3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3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3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3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3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3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3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3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3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3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3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3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3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3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3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3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3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3"/>
      <c r="C979" s="4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</sheetData>
  <mergeCells count="6">
    <mergeCell ref="A2:H2"/>
    <mergeCell ref="C4:H4"/>
    <mergeCell ref="J4:L4"/>
    <mergeCell ref="L27:M27"/>
    <mergeCell ref="L28:M28"/>
    <mergeCell ref="L34:M3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 t="s">
        <v>0</v>
      </c>
    </row>
    <row r="3" ht="14.25" customHeight="1">
      <c r="H3" s="5" t="s">
        <v>1</v>
      </c>
    </row>
    <row r="4" ht="14.25" customHeight="1">
      <c r="C4" s="6" t="s">
        <v>2</v>
      </c>
      <c r="D4" s="8"/>
      <c r="E4" s="10"/>
    </row>
    <row r="5" ht="14.25" customHeight="1">
      <c r="A5" s="12" t="s">
        <v>4</v>
      </c>
      <c r="B5" s="12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</row>
    <row r="6" ht="14.25" customHeight="1">
      <c r="A6" s="12" t="s">
        <v>12</v>
      </c>
      <c r="B6" s="16" t="s">
        <v>13</v>
      </c>
      <c r="C6" s="18"/>
      <c r="D6" s="18" t="s">
        <v>14</v>
      </c>
      <c r="E6" s="19">
        <v>0.5</v>
      </c>
      <c r="F6" s="25">
        <f>(C20*E6)+1300000</f>
        <v>1950000</v>
      </c>
      <c r="G6" s="25">
        <f t="shared" ref="G6:G11" si="1">F6/180</f>
        <v>10833.33333</v>
      </c>
    </row>
    <row r="7" ht="14.25" customHeight="1">
      <c r="A7" s="12" t="s">
        <v>19</v>
      </c>
      <c r="B7" s="16" t="s">
        <v>27</v>
      </c>
      <c r="C7" s="18"/>
      <c r="D7" s="18" t="s">
        <v>14</v>
      </c>
      <c r="E7" s="19">
        <v>0.3</v>
      </c>
      <c r="F7" s="25">
        <f>(C22*E7)+1300000</f>
        <v>1300000</v>
      </c>
      <c r="G7" s="25">
        <f t="shared" si="1"/>
        <v>7222.222222</v>
      </c>
    </row>
    <row r="8" ht="14.25" customHeight="1">
      <c r="A8" s="12" t="s">
        <v>20</v>
      </c>
      <c r="B8" s="16" t="s">
        <v>29</v>
      </c>
      <c r="C8" s="18" t="s">
        <v>14</v>
      </c>
      <c r="D8" s="18"/>
      <c r="E8" s="18"/>
      <c r="F8" s="25">
        <f>B19</f>
        <v>500000</v>
      </c>
      <c r="G8" s="25">
        <f t="shared" si="1"/>
        <v>2777.777778</v>
      </c>
    </row>
    <row r="9" ht="14.25" customHeight="1">
      <c r="A9" s="12" t="s">
        <v>21</v>
      </c>
      <c r="B9" s="16" t="s">
        <v>32</v>
      </c>
      <c r="C9" s="18" t="s">
        <v>14</v>
      </c>
      <c r="D9" s="18"/>
      <c r="E9" s="19">
        <v>0.3</v>
      </c>
      <c r="F9" s="25">
        <f>(B19*E9)+500000</f>
        <v>650000</v>
      </c>
      <c r="G9" s="25">
        <f t="shared" si="1"/>
        <v>3611.111111</v>
      </c>
    </row>
    <row r="10" ht="14.25" customHeight="1">
      <c r="A10" s="12" t="s">
        <v>22</v>
      </c>
      <c r="B10" s="16" t="s">
        <v>35</v>
      </c>
      <c r="C10" s="18" t="s">
        <v>14</v>
      </c>
      <c r="D10" s="18"/>
      <c r="E10" s="18"/>
      <c r="F10" s="25">
        <f>B19</f>
        <v>500000</v>
      </c>
      <c r="G10" s="25">
        <f t="shared" si="1"/>
        <v>2777.777778</v>
      </c>
    </row>
    <row r="11" ht="14.25" customHeight="1">
      <c r="A11" s="12" t="s">
        <v>23</v>
      </c>
      <c r="B11" s="16" t="s">
        <v>40</v>
      </c>
      <c r="C11" s="18" t="s">
        <v>14</v>
      </c>
      <c r="D11" s="18"/>
      <c r="E11" s="18"/>
      <c r="F11" s="25">
        <v>500000.0</v>
      </c>
      <c r="G11" s="25">
        <f t="shared" si="1"/>
        <v>2777.777778</v>
      </c>
    </row>
    <row r="12" ht="14.25" customHeight="1"/>
    <row r="13" ht="14.25" customHeight="1"/>
    <row r="14" ht="14.25" customHeight="1">
      <c r="D14" s="37" t="s">
        <v>43</v>
      </c>
      <c r="E14" s="37">
        <v>45.0</v>
      </c>
    </row>
    <row r="15" ht="14.25" customHeight="1">
      <c r="D15" s="37" t="s">
        <v>45</v>
      </c>
      <c r="E15" s="37">
        <f>E14*4</f>
        <v>180</v>
      </c>
    </row>
    <row r="16" ht="14.25" customHeight="1">
      <c r="D16" s="37" t="s">
        <v>10</v>
      </c>
      <c r="E16" s="37" t="s">
        <v>49</v>
      </c>
    </row>
    <row r="17" ht="14.25" customHeight="1"/>
    <row r="18" ht="14.25" customHeight="1">
      <c r="A18" s="38" t="s">
        <v>50</v>
      </c>
      <c r="B18" s="38" t="s">
        <v>37</v>
      </c>
      <c r="C18" s="38" t="s">
        <v>52</v>
      </c>
      <c r="D18" s="38" t="s">
        <v>48</v>
      </c>
    </row>
    <row r="19" ht="14.25" customHeight="1">
      <c r="A19" s="41" t="s">
        <v>53</v>
      </c>
      <c r="B19" s="25">
        <v>500000.0</v>
      </c>
      <c r="C19" s="25">
        <v>700000.0</v>
      </c>
      <c r="D19" s="25">
        <v>500000.0</v>
      </c>
    </row>
    <row r="20" ht="14.25" customHeight="1">
      <c r="A20" s="41" t="s">
        <v>54</v>
      </c>
      <c r="B20" s="25">
        <v>900000.0</v>
      </c>
      <c r="C20" s="25">
        <v>1300000.0</v>
      </c>
      <c r="D20" s="25">
        <v>800000.0</v>
      </c>
    </row>
    <row r="21" ht="14.25" customHeight="1"/>
    <row r="22" ht="14.25" customHeight="1"/>
    <row r="23" ht="14.25" customHeight="1">
      <c r="H23" s="5" t="s">
        <v>55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2" t="s">
        <v>48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