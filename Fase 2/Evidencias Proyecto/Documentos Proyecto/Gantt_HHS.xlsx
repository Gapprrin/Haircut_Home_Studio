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rol de horas" sheetId="1" r:id="rId4"/>
    <sheet state="visible" name="Gantt" sheetId="2" r:id="rId5"/>
  </sheets>
  <definedNames>
    <definedName hidden="1" localSheetId="1" name="_xlnm._FilterDatabase">Gantt!$A$4:$H$102</definedName>
  </definedNames>
  <calcPr/>
  <extLst>
    <ext uri="GoogleSheetsCustomDataVersion2">
      <go:sheetsCustomData xmlns:go="http://customooxmlschemas.google.com/" r:id="rId6" roundtripDataChecksum="J/yeH2HTHiTkdwHNhHXBVy0s0rtnfENwXLPh1/pnR9U="/>
    </ext>
  </extLst>
</workbook>
</file>

<file path=xl/sharedStrings.xml><?xml version="1.0" encoding="utf-8"?>
<sst xmlns="http://schemas.openxmlformats.org/spreadsheetml/2006/main" count="568" uniqueCount="265">
  <si>
    <t>Control de horas — PDF, EDT, Gantt, backlog y burndown</t>
  </si>
  <si>
    <t>La columna PDF es la suma de Tareas x HU. El resto de los documentos usa esos mismos números.</t>
  </si>
  <si>
    <t>Historia</t>
  </si>
  <si>
    <t>Sprint</t>
  </si>
  <si>
    <t>Gantt — Haircut Home Studio</t>
  </si>
  <si>
    <t>Horas PDF</t>
  </si>
  <si>
    <t>Tareas</t>
  </si>
  <si>
    <t>Responsable principal</t>
  </si>
  <si>
    <t>E01-HU01</t>
  </si>
  <si>
    <t>Cada barra es el trabajo planificado a 8 h por día hábil, con tres personas en paralelo. Las tareas E01–E07 usan las horas del PDF (469 h). Fase 1 (36 h) y Fase 3 (79 h) se mantienen. El número dentro del día es la hora de esa tarea ese día. Lunes a viernes; el 18/09 queda dentro del sprint 2, como en el calendario de 10 días hábiles.</t>
  </si>
  <si>
    <t>Nicolas Carmona, Mateo Alvarez</t>
  </si>
  <si>
    <t>E02-HU01</t>
  </si>
  <si>
    <t>ID</t>
  </si>
  <si>
    <t>Nicolas Carmona, Rosa Garrido, Mateo Alvarez</t>
  </si>
  <si>
    <t>E02-HU02</t>
  </si>
  <si>
    <t>Tarea</t>
  </si>
  <si>
    <t>Bloque</t>
  </si>
  <si>
    <t>Rol</t>
  </si>
  <si>
    <t>Responsable</t>
  </si>
  <si>
    <t>E02-HU03</t>
  </si>
  <si>
    <t>Horas</t>
  </si>
  <si>
    <t>Inicio</t>
  </si>
  <si>
    <t>E02-HU04</t>
  </si>
  <si>
    <t>Fin</t>
  </si>
  <si>
    <t>Rosa Garrido, Nicolas Carmona, Mateo Alvarez</t>
  </si>
  <si>
    <t>E01-HU02</t>
  </si>
  <si>
    <t>Nicolas Carmona</t>
  </si>
  <si>
    <t>E01-HU03</t>
  </si>
  <si>
    <t>Rosa Garrido</t>
  </si>
  <si>
    <t>E05-HU01</t>
  </si>
  <si>
    <t>E05-HU02</t>
  </si>
  <si>
    <t>E03-HU01</t>
  </si>
  <si>
    <t>E03-HU02</t>
  </si>
  <si>
    <t>E03-HU03</t>
  </si>
  <si>
    <t>E03-HU04</t>
  </si>
  <si>
    <t>E05-HU03</t>
  </si>
  <si>
    <t>Rosa Garrido, Mateo Alvarez</t>
  </si>
  <si>
    <t>E04-HU01</t>
  </si>
  <si>
    <t>E04-HU02</t>
  </si>
  <si>
    <t>E04-HU03</t>
  </si>
  <si>
    <t>E07-HU02</t>
  </si>
  <si>
    <t>E07-HU03</t>
  </si>
  <si>
    <t>Rosa Garrido, Nicolas Carmona</t>
  </si>
  <si>
    <t>E07-HU01</t>
  </si>
  <si>
    <t>E06-HU01</t>
  </si>
  <si>
    <t>E06-HU02</t>
  </si>
  <si>
    <t>TOTAL PDF</t>
  </si>
  <si>
    <t>F1</t>
  </si>
  <si>
    <t>Fase 1</t>
  </si>
  <si>
    <t>Definición del proyecto</t>
  </si>
  <si>
    <t>Fase 3</t>
  </si>
  <si>
    <t>Proyecto (Fase 1 + PDF + Fase 3)</t>
  </si>
  <si>
    <t>JP</t>
  </si>
  <si>
    <t>Documento de visión del proyecto</t>
  </si>
  <si>
    <t>Creación de Épicas e Historias de Usuario</t>
  </si>
  <si>
    <t>JP, AF</t>
  </si>
  <si>
    <t>Construcción del Product Backlog inicial</t>
  </si>
  <si>
    <t>Diseño de arquitectura, modelo de base de datos y mockups</t>
  </si>
  <si>
    <t>JP, AF, PG, TS, DI</t>
  </si>
  <si>
    <t>Rosa Garrido, Mateo Alvarez, Nicolas Carmona</t>
  </si>
  <si>
    <t>E01-HU01-T01</t>
  </si>
  <si>
    <t>Reserva de hora (bloqueo temporal)</t>
  </si>
  <si>
    <t>Sprint 1</t>
  </si>
  <si>
    <t>PG</t>
  </si>
  <si>
    <t>E01-HU01-T02</t>
  </si>
  <si>
    <t>Crear mensaje de confirmación de hora</t>
  </si>
  <si>
    <t>E01-HU01-T03</t>
  </si>
  <si>
    <t>Agenda de hora (registro en la bbdd)</t>
  </si>
  <si>
    <t>DBA</t>
  </si>
  <si>
    <t>E01-HU01-T04</t>
  </si>
  <si>
    <t>Verificar reserva en la bbdd</t>
  </si>
  <si>
    <t>TS</t>
  </si>
  <si>
    <t>Mateo Alvarez</t>
  </si>
  <si>
    <t>E02-HU01-T01</t>
  </si>
  <si>
    <t>Consultar las reservas existentes</t>
  </si>
  <si>
    <t>E02-HU01-T02</t>
  </si>
  <si>
    <t>Revisar calendario con leyenda</t>
  </si>
  <si>
    <t>DI</t>
  </si>
  <si>
    <t>E02-HU01-T03</t>
  </si>
  <si>
    <t>Mostrar detalles básicos (cliente, hora y servicio) de la reserva</t>
  </si>
  <si>
    <t>E02-HU01-T04</t>
  </si>
  <si>
    <t>Probar lista, calendario y detalles básicos</t>
  </si>
  <si>
    <t>E02-HU02-T01</t>
  </si>
  <si>
    <t>Crear reserva en persona</t>
  </si>
  <si>
    <t>E02-HU02-T02</t>
  </si>
  <si>
    <t>Modificar detalles de una reserva (reprogramar, modificar servicios, etc)</t>
  </si>
  <si>
    <t>E02-HU02-T03</t>
  </si>
  <si>
    <t>Cancelar reservas</t>
  </si>
  <si>
    <t>E02-HU02-T04</t>
  </si>
  <si>
    <t>Probar creación, modificación y cancelación.</t>
  </si>
  <si>
    <t>E02-HU03-T01</t>
  </si>
  <si>
    <t>Bloqueo de horas disponibles en el día</t>
  </si>
  <si>
    <t>E02-HU03-T02</t>
  </si>
  <si>
    <t>Bloqueo de días, semanas o mes</t>
  </si>
  <si>
    <t>E02-HU03-T03</t>
  </si>
  <si>
    <t>Desbloqueo de horas, días, semanas o mes + imposibilidad de modificar días pasados</t>
  </si>
  <si>
    <t>E02-HU03-T04</t>
  </si>
  <si>
    <t>Realizar registro de cambio en la bbdd</t>
  </si>
  <si>
    <t>E02-HU03-T05</t>
  </si>
  <si>
    <t>Probar bloqueos y desbloqueos</t>
  </si>
  <si>
    <t>E02-HU04-T01</t>
  </si>
  <si>
    <t>Mostrar contador de reservas pendientes y confirmadas.</t>
  </si>
  <si>
    <t>E02-HU04-T02</t>
  </si>
  <si>
    <t>Calcular servicios más cotizados</t>
  </si>
  <si>
    <t>E02-HU04-T03</t>
  </si>
  <si>
    <t>Calculo de ingresos semanales, mensuales, trimestrales, semestrales, anuales.</t>
  </si>
  <si>
    <t>E02-HU04-T04</t>
  </si>
  <si>
    <t>Probar dashboard</t>
  </si>
  <si>
    <t>E01-HU02-T01</t>
  </si>
  <si>
    <t>Identificación de la mejor hora del día dependiendo del servicio elegido</t>
  </si>
  <si>
    <t>Sprint 2</t>
  </si>
  <si>
    <t>E01-HU02-T02</t>
  </si>
  <si>
    <t>Identificación del mejor día de la semana dependiendo del servicio elegido</t>
  </si>
  <si>
    <t>E01-HU02-T03</t>
  </si>
  <si>
    <t>Identificación de la mejor semana o mes dependiendo del servicio elegido</t>
  </si>
  <si>
    <t>E01-HU03-T01</t>
  </si>
  <si>
    <t>Contruir calendario</t>
  </si>
  <si>
    <t>E01-HU03-T02</t>
  </si>
  <si>
    <t>Mostrar horas agendadas y disponibles dependiendo del horario de trabajo, mostrando su duración</t>
  </si>
  <si>
    <t>E01-HU03-T03</t>
  </si>
  <si>
    <t>Mostrar horas deshabilitadas</t>
  </si>
  <si>
    <t>E05-HU01-T01</t>
  </si>
  <si>
    <t>Listar productos disponibles en home</t>
  </si>
  <si>
    <t>E05-HU01-T02</t>
  </si>
  <si>
    <t>Mostrar los 10 productos más usados/comprados</t>
  </si>
  <si>
    <t>E05-HU01-T03</t>
  </si>
  <si>
    <t>Probar correcta visualización de productos</t>
  </si>
  <si>
    <t>E05-HU02-T01</t>
  </si>
  <si>
    <t>Crear sistema de reseñas x servicio</t>
  </si>
  <si>
    <t>E05-HU02-T02</t>
  </si>
  <si>
    <t>Mostrar reseñas en el detalle del servicio</t>
  </si>
  <si>
    <t>E05-HU02-T03</t>
  </si>
  <si>
    <t>Calcular y mostrar promedio de estrellas</t>
  </si>
  <si>
    <t>E05-HU02-T04</t>
  </si>
  <si>
    <t>Validar correcto funcionamiento del sistema y visualización</t>
  </si>
  <si>
    <t>E03-HU01-T01</t>
  </si>
  <si>
    <t>Creación de inputs para las credenciales y datos del usuario</t>
  </si>
  <si>
    <t>Sprint 3</t>
  </si>
  <si>
    <t>E03-HU01-T02</t>
  </si>
  <si>
    <t>Definir y aplicar politica de creación de contraseña</t>
  </si>
  <si>
    <t>E03-HU01-T03</t>
  </si>
  <si>
    <t>Verificación de correo (activación y validez)</t>
  </si>
  <si>
    <t>E03-HU01-T04</t>
  </si>
  <si>
    <t>Validar correo duplicado.</t>
  </si>
  <si>
    <t>E03-HU02-T01</t>
  </si>
  <si>
    <t>Creación de inputs (correo, contraseña)</t>
  </si>
  <si>
    <t>E03-HU02-T02</t>
  </si>
  <si>
    <t>Validación de correo (verifica que haya un usuario con dicho correo)</t>
  </si>
  <si>
    <t>E03-HU02-T03</t>
  </si>
  <si>
    <t>Validación de contraseña (verifica que la contraseña pertenezca al usuario con dicho correo)</t>
  </si>
  <si>
    <t>E03-HU02-T04</t>
  </si>
  <si>
    <t>Muestra mensaje de credenciales invalidas</t>
  </si>
  <si>
    <t>E03-HU02-T05</t>
  </si>
  <si>
    <t>Redirigir a las vistas correspondientes del rol del usuario</t>
  </si>
  <si>
    <t>E03-HU02-T06</t>
  </si>
  <si>
    <t>Botón de "olvidé contraseña"</t>
  </si>
  <si>
    <t>E03-HU02-T07</t>
  </si>
  <si>
    <t>Probar creación de cuenta</t>
  </si>
  <si>
    <t>E03-HU03-T01</t>
  </si>
  <si>
    <t>El sistema elimina los datos locales de la sesión</t>
  </si>
  <si>
    <t>E03-HU03-T02</t>
  </si>
  <si>
    <t>El sistema muestra la vista de usuario sin cuenta.</t>
  </si>
  <si>
    <t>E03-HU03-T03</t>
  </si>
  <si>
    <t>Probar cerrado de sesión</t>
  </si>
  <si>
    <t>E03-HU04-T01</t>
  </si>
  <si>
    <t>Creación de página de perfil</t>
  </si>
  <si>
    <t>E03-HU04-T02</t>
  </si>
  <si>
    <t>Mostrar la información sensible (personal) del cliente</t>
  </si>
  <si>
    <t>E03-HU04-T03</t>
  </si>
  <si>
    <t>Listar servicios/productos comprados</t>
  </si>
  <si>
    <t>E03-HU04-T04</t>
  </si>
  <si>
    <t>Modificar información sensible</t>
  </si>
  <si>
    <t>E03-HU04-T05</t>
  </si>
  <si>
    <t>Probar modulo de página de perfil</t>
  </si>
  <si>
    <t>E05-HU03-T01</t>
  </si>
  <si>
    <t>Mostrar información de contacto y ubicación en pie de página</t>
  </si>
  <si>
    <t>E05-HU03-T02</t>
  </si>
  <si>
    <t>Mostrar información de contacto y ubicación en página "acerca de"</t>
  </si>
  <si>
    <t>E05-HU03-T03</t>
  </si>
  <si>
    <t>Validar correcta visualización</t>
  </si>
  <si>
    <t>E04-HU01-T01</t>
  </si>
  <si>
    <t>Edición de categorías</t>
  </si>
  <si>
    <t>Sprint 4</t>
  </si>
  <si>
    <t>E04-HU01-T02</t>
  </si>
  <si>
    <t>Registro de edición de la categoría</t>
  </si>
  <si>
    <t>E04-HU01-T03</t>
  </si>
  <si>
    <t>Validación del cambio en bbdd</t>
  </si>
  <si>
    <t>E04-HU02-T01</t>
  </si>
  <si>
    <t>Edición de servicios</t>
  </si>
  <si>
    <t>E04-HU02-T02</t>
  </si>
  <si>
    <t>Registro de edición de servicio</t>
  </si>
  <si>
    <t>E04-HU02-T03</t>
  </si>
  <si>
    <t>E04-HU03-T01</t>
  </si>
  <si>
    <t>Edición de producto</t>
  </si>
  <si>
    <t>E04-HU03-T02</t>
  </si>
  <si>
    <t>Registro de edición de producto</t>
  </si>
  <si>
    <t>E04-HU03-T03</t>
  </si>
  <si>
    <t>E07-HU02-T01</t>
  </si>
  <si>
    <t>Implementar sistema de creditos por rol</t>
  </si>
  <si>
    <t>E07-HU02-T02</t>
  </si>
  <si>
    <t>Asignar 3 creditos para usuarios normales</t>
  </si>
  <si>
    <t>E07-HU02-T03</t>
  </si>
  <si>
    <t>Asignar creditos ilimiatados para el administrador y el peluquero</t>
  </si>
  <si>
    <t>E07-HU02-T04</t>
  </si>
  <si>
    <t>Mostrar mensaje de alerta cada 2 simulaciones, avisando que queda 1 simulación disponible o que ya van 3 en caso de ser admin o peluquero</t>
  </si>
  <si>
    <t>E07-HU02-T05</t>
  </si>
  <si>
    <t>Probar funcionamiento de los creditos y advertencias</t>
  </si>
  <si>
    <t>E07-HU03-T01</t>
  </si>
  <si>
    <t>Mostrar en recuadro, simulaciones previas</t>
  </si>
  <si>
    <t>E07-HU03-T02</t>
  </si>
  <si>
    <t>Mostrar detalles de la simulación previa</t>
  </si>
  <si>
    <t>E07-HU03-T03</t>
  </si>
  <si>
    <t>Eliminar y reiniciar cada 24 horas las simulaciones</t>
  </si>
  <si>
    <t>E07-HU01-T01</t>
  </si>
  <si>
    <t>Pagar suscripción de agente IA</t>
  </si>
  <si>
    <t>Sprint 5</t>
  </si>
  <si>
    <t>E07-HU01-T02</t>
  </si>
  <si>
    <t>Configurar el Agente IA</t>
  </si>
  <si>
    <t>E07-HU01-T03</t>
  </si>
  <si>
    <t>Desarrollo de modulo de IA en el sistema</t>
  </si>
  <si>
    <t>E07-HU01-T04</t>
  </si>
  <si>
    <t>Implementar agente IA en el sistema</t>
  </si>
  <si>
    <t>E07-HU01-T05</t>
  </si>
  <si>
    <t>Implementar subida de foto y asegurar privacidad del usuario</t>
  </si>
  <si>
    <t>E07-HU01-T06</t>
  </si>
  <si>
    <t>Implementar simulación con servicios ofrecidos por la peluquería</t>
  </si>
  <si>
    <t>E07-HU01-T07</t>
  </si>
  <si>
    <t>Mostrar simulación</t>
  </si>
  <si>
    <t>E07-HU01-T08</t>
  </si>
  <si>
    <t>Validar generación de la simulación</t>
  </si>
  <si>
    <t>E07-HU01-T09</t>
  </si>
  <si>
    <t>Almacenar localmente la simulación</t>
  </si>
  <si>
    <t>E06-HU01-T01</t>
  </si>
  <si>
    <t>Agregar burbuja de chat</t>
  </si>
  <si>
    <t>E06-HU01-T02</t>
  </si>
  <si>
    <t>Crear e implementar chats predefinidos</t>
  </si>
  <si>
    <t>E06-HU01-T03</t>
  </si>
  <si>
    <t>Consultar disponibilidad de horas</t>
  </si>
  <si>
    <t>E06-HU01-T04</t>
  </si>
  <si>
    <t>Registrar reserva (para validación x peluquero)</t>
  </si>
  <si>
    <t>E06-HU01-T05</t>
  </si>
  <si>
    <t>Probar implementación</t>
  </si>
  <si>
    <t>E06-HU02-T01</t>
  </si>
  <si>
    <t>Implementar solicitud de atención por personal</t>
  </si>
  <si>
    <t>E06-HU02-T02</t>
  </si>
  <si>
    <t>Configurar redirección a chat con peluquero</t>
  </si>
  <si>
    <t>E06-HU02-T03</t>
  </si>
  <si>
    <t>F3</t>
  </si>
  <si>
    <t>Pruebas de calidad (QA), concurrencia y corrección de errores</t>
  </si>
  <si>
    <t>JP, AF, PG, DBA, TS</t>
  </si>
  <si>
    <t>Despliegue en entorno de producción/hosting y configuración</t>
  </si>
  <si>
    <t>JP, AF, PG, DBA, TS, DI</t>
  </si>
  <si>
    <t>Capacitación al usuario final y cierre del proyecto (Sprint Review/Retro)</t>
  </si>
  <si>
    <t>JP, AF, DBA, TS</t>
  </si>
  <si>
    <t>Total de horas (personas)</t>
  </si>
  <si>
    <t>Horas de tareas del PDF (E01–E07)</t>
  </si>
  <si>
    <t>Leyenda</t>
  </si>
  <si>
    <t>Fase 1 + Fase 3</t>
  </si>
  <si>
    <t>E01 Reserva</t>
  </si>
  <si>
    <t>E02 Peluquero</t>
  </si>
  <si>
    <t>E03 Cuenta</t>
  </si>
  <si>
    <t>E04 Admin</t>
  </si>
  <si>
    <t>E05 Cliente</t>
  </si>
  <si>
    <t>E06 WhatsApp</t>
  </si>
  <si>
    <t>E07 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</si>
</sst>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"/>
    <numFmt numFmtId="165" formatCode="DD/MM/YYYY"/>
    <numFmt numFmtId="166" formatCode="0.#"/>
  </numFmts>
  <fonts count="33">
    <font>
      <sz val="11.0"/>
      <color theme="1"/>
      <name val="Calibri"/>
      <scheme val="minor"/>
    </font>
    <font>
      <b/>
      <sz val="16.0"/>
      <color rgb="FF1F4E79"/>
      <name val="Calibri"/>
    </font>
    <font>
      <sz val="10.0"/>
      <color rgb="FF595959"/>
      <name val="Calibri"/>
    </font>
    <font>
      <b/>
      <sz val="11.0"/>
      <color rgb="FFFFFFFF"/>
      <name val="Calibri"/>
    </font>
    <font>
      <b/>
      <sz val="11.0"/>
      <color rgb="FF2E75B6"/>
      <name val="Calibri"/>
    </font>
    <font>
      <sz val="11.0"/>
      <color rgb="FF000000"/>
      <name val="Calibri"/>
    </font>
    <font>
      <b/>
      <sz val="11.0"/>
      <color rgb="FF0D7377"/>
      <name val="Calibri"/>
    </font>
    <font>
      <b/>
      <sz val="8.0"/>
      <color rgb="FFFFFFFF"/>
      <name val="Calibri"/>
    </font>
    <font>
      <b/>
      <sz val="11.0"/>
      <color rgb="FF7030A0"/>
      <name val="Calibri"/>
    </font>
    <font>
      <b/>
      <sz val="11.0"/>
      <color rgb="FF548235"/>
      <name val="Calibri"/>
    </font>
    <font>
      <b/>
      <sz val="11.0"/>
      <color rgb="FFC65911"/>
      <name val="Calibri"/>
    </font>
    <font>
      <b/>
      <sz val="11.0"/>
      <color rgb="FFC00000"/>
      <name val="Calibri"/>
    </font>
    <font>
      <b/>
      <sz val="11.0"/>
      <color rgb="FFBF8F00"/>
      <name val="Calibri"/>
    </font>
    <font>
      <b/>
      <sz val="12.0"/>
      <color rgb="FFFFFFFF"/>
      <name val="Calibri"/>
    </font>
    <font>
      <b/>
      <sz val="10.0"/>
      <color rgb="FF1F4E79"/>
      <name val="Calibri"/>
    </font>
    <font>
      <b/>
      <sz val="11.0"/>
      <color rgb="FF000000"/>
      <name val="Calibri"/>
    </font>
    <font>
      <sz val="10.0"/>
      <color rgb="FF000000"/>
      <name val="Calibri"/>
    </font>
    <font>
      <b/>
      <sz val="11.0"/>
      <color rgb="FF1F4E79"/>
      <name val="Calibri"/>
    </font>
    <font>
      <b/>
      <sz val="10.0"/>
      <color rgb="FF000000"/>
      <name val="Calibri"/>
    </font>
    <font>
      <sz val="11.0"/>
      <color theme="1"/>
      <name val="Calibri"/>
    </font>
    <font>
      <b/>
      <sz val="10.0"/>
      <color rgb="FF2E75B6"/>
      <name val="Calibri"/>
    </font>
    <font>
      <b/>
      <sz val="10.0"/>
      <color rgb="FF0D7377"/>
      <name val="Calibri"/>
    </font>
    <font>
      <b/>
      <sz val="12.0"/>
      <color rgb="FF1F4E79"/>
      <name val="Calibri"/>
    </font>
    <font>
      <b/>
      <sz val="10.0"/>
      <color rgb="FF7030A0"/>
      <name val="Calibri"/>
    </font>
    <font>
      <b/>
      <sz val="10.0"/>
      <color rgb="FF548235"/>
      <name val="Calibri"/>
    </font>
    <font>
      <b/>
      <sz val="10.0"/>
      <color rgb="FFC65911"/>
      <name val="Calibri"/>
    </font>
    <font>
      <b/>
      <sz val="10.0"/>
      <color rgb="FFC00000"/>
      <name val="Calibri"/>
    </font>
    <font>
      <b/>
      <sz val="10.0"/>
      <color rgb="FFBF8F00"/>
      <name val="Calibri"/>
    </font>
    <font>
      <b/>
      <sz val="10.0"/>
      <color rgb="FF595959"/>
      <name val="Calibri"/>
    </font>
    <font>
      <b/>
      <sz val="12.0"/>
      <color rgb="FF0D7377"/>
      <name val="Calibri"/>
    </font>
    <font>
      <b/>
      <sz val="14.0"/>
      <color rgb="FF0D7377"/>
      <name val="Calibri"/>
    </font>
    <font>
      <sz val="11.0"/>
      <color rgb="FF595959"/>
      <name val="Calibri"/>
    </font>
    <font>
      <b/>
      <sz val="11.0"/>
      <color rgb="FF595959"/>
      <name val="Calibri"/>
    </font>
  </fonts>
  <fills count="11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C65911"/>
        <bgColor rgb="FFC65911"/>
      </patternFill>
    </fill>
    <fill>
      <patternFill patternType="solid">
        <fgColor rgb="FF0D7377"/>
        <bgColor rgb="FF0D7377"/>
      </patternFill>
    </fill>
    <fill>
      <patternFill patternType="solid">
        <fgColor rgb="FF2E75B6"/>
        <bgColor rgb="FF2E75B6"/>
      </patternFill>
    </fill>
    <fill>
      <patternFill patternType="solid">
        <fgColor rgb="FF7030A0"/>
        <bgColor rgb="FF7030A0"/>
      </patternFill>
    </fill>
    <fill>
      <patternFill patternType="solid">
        <fgColor rgb="FF548235"/>
        <bgColor rgb="FF548235"/>
      </patternFill>
    </fill>
    <fill>
      <patternFill patternType="solid">
        <fgColor rgb="FFC00000"/>
        <bgColor rgb="FFC00000"/>
      </patternFill>
    </fill>
    <fill>
      <patternFill patternType="solid">
        <fgColor rgb="FFBF8F00"/>
        <bgColor rgb="FFBF8F00"/>
      </patternFill>
    </fill>
    <fill>
      <patternFill patternType="solid">
        <fgColor rgb="FF595959"/>
        <bgColor rgb="FF595959"/>
      </patternFill>
    </fill>
  </fills>
  <borders count="3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3" numFmtId="0" xfId="0" applyAlignment="1" applyBorder="1" applyFill="1" applyFont="1">
      <alignment horizontal="center" shrinkToFit="0" vertical="center" wrapText="1"/>
    </xf>
    <xf borderId="1" fillId="0" fontId="4" numFmtId="0" xfId="0" applyBorder="1" applyFont="1"/>
    <xf borderId="1" fillId="0" fontId="5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shrinkToFit="0" vertical="center" wrapText="1"/>
    </xf>
    <xf borderId="1" fillId="0" fontId="5" numFmtId="0" xfId="0" applyBorder="1" applyFont="1"/>
    <xf borderId="1" fillId="0" fontId="6" numFmtId="0" xfId="0" applyBorder="1" applyFont="1"/>
    <xf borderId="1" fillId="2" fontId="7" numFmtId="164" xfId="0" applyAlignment="1" applyBorder="1" applyFill="1" applyFont="1" applyNumberFormat="1">
      <alignment horizontal="center" textRotation="90" vertical="center"/>
    </xf>
    <xf borderId="1" fillId="0" fontId="8" numFmtId="0" xfId="0" applyBorder="1" applyFont="1"/>
    <xf borderId="1" fillId="0" fontId="9" numFmtId="0" xfId="0" applyBorder="1" applyFont="1"/>
    <xf borderId="1" fillId="0" fontId="10" numFmtId="0" xfId="0" applyBorder="1" applyFont="1"/>
    <xf borderId="1" fillId="0" fontId="11" numFmtId="0" xfId="0" applyBorder="1" applyFont="1"/>
    <xf borderId="1" fillId="3" fontId="7" numFmtId="164" xfId="0" applyAlignment="1" applyBorder="1" applyFill="1" applyFont="1" applyNumberFormat="1">
      <alignment horizontal="center" textRotation="90" vertical="center"/>
    </xf>
    <xf borderId="1" fillId="0" fontId="12" numFmtId="0" xfId="0" applyBorder="1" applyFont="1"/>
    <xf borderId="1" fillId="4" fontId="13" numFmtId="0" xfId="0" applyBorder="1" applyFill="1" applyFont="1"/>
    <xf borderId="1" fillId="4" fontId="13" numFmtId="1" xfId="0" applyBorder="1" applyFill="1" applyFont="1" applyNumberFormat="1"/>
    <xf borderId="1" fillId="0" fontId="14" numFmtId="0" xfId="0" applyAlignment="1" applyBorder="1" applyFont="1">
      <alignment horizontal="center" shrinkToFit="0" vertical="center" wrapText="1"/>
    </xf>
    <xf borderId="0" fillId="0" fontId="15" numFmtId="0" xfId="0" applyFont="1"/>
    <xf borderId="1" fillId="0" fontId="16" numFmtId="0" xfId="0" applyAlignment="1" applyBorder="1" applyFont="1">
      <alignment horizontal="left" shrinkToFit="0" vertical="center" wrapText="1"/>
    </xf>
    <xf borderId="1" fillId="0" fontId="16" numFmtId="0" xfId="0" applyAlignment="1" applyBorder="1" applyFont="1">
      <alignment horizontal="center" shrinkToFit="0" vertical="center" wrapText="1"/>
    </xf>
    <xf borderId="0" fillId="0" fontId="17" numFmtId="0" xfId="0" applyFont="1"/>
    <xf borderId="1" fillId="0" fontId="18" numFmtId="1" xfId="0" applyAlignment="1" applyBorder="1" applyFont="1" applyNumberFormat="1">
      <alignment horizontal="center" shrinkToFit="0" vertical="center" wrapText="1"/>
    </xf>
    <xf borderId="1" fillId="0" fontId="16" numFmtId="165" xfId="0" applyAlignment="1" applyBorder="1" applyFont="1" applyNumberFormat="1">
      <alignment horizontal="center" shrinkToFit="0" vertical="center" wrapText="1"/>
    </xf>
    <xf borderId="1" fillId="2" fontId="7" numFmtId="166" xfId="0" applyAlignment="1" applyBorder="1" applyFill="1" applyFont="1" applyNumberFormat="1">
      <alignment horizontal="center" shrinkToFit="0" vertical="center" wrapText="1"/>
    </xf>
    <xf borderId="1" fillId="0" fontId="19" numFmtId="0" xfId="0" applyBorder="1" applyFont="1"/>
    <xf borderId="1" fillId="0" fontId="20" numFmtId="0" xfId="0" applyAlignment="1" applyBorder="1" applyFont="1">
      <alignment horizontal="center" shrinkToFit="0" vertical="center" wrapText="1"/>
    </xf>
    <xf borderId="1" fillId="5" fontId="7" numFmtId="166" xfId="0" applyAlignment="1" applyBorder="1" applyFill="1" applyFont="1" applyNumberFormat="1">
      <alignment horizontal="center" shrinkToFit="0" vertical="center" wrapText="1"/>
    </xf>
    <xf borderId="1" fillId="0" fontId="21" numFmtId="0" xfId="0" applyAlignment="1" applyBorder="1" applyFont="1">
      <alignment horizontal="center" shrinkToFit="0" vertical="center" wrapText="1"/>
    </xf>
    <xf borderId="1" fillId="4" fontId="7" numFmtId="166" xfId="0" applyAlignment="1" applyBorder="1" applyFill="1" applyFont="1" applyNumberFormat="1">
      <alignment horizontal="center" shrinkToFit="0" vertical="center" wrapText="1"/>
    </xf>
    <xf borderId="0" fillId="0" fontId="22" numFmtId="1" xfId="0" applyFont="1" applyNumberFormat="1"/>
    <xf borderId="1" fillId="0" fontId="23" numFmtId="0" xfId="0" applyAlignment="1" applyBorder="1" applyFont="1">
      <alignment horizontal="center" shrinkToFit="0" vertical="center" wrapText="1"/>
    </xf>
    <xf borderId="1" fillId="6" fontId="7" numFmtId="166" xfId="0" applyAlignment="1" applyBorder="1" applyFill="1" applyFont="1" applyNumberFormat="1">
      <alignment horizontal="center" shrinkToFit="0" vertical="center" wrapText="1"/>
    </xf>
    <xf borderId="1" fillId="0" fontId="24" numFmtId="0" xfId="0" applyAlignment="1" applyBorder="1" applyFont="1">
      <alignment horizontal="center" shrinkToFit="0" vertical="center" wrapText="1"/>
    </xf>
    <xf borderId="1" fillId="7" fontId="7" numFmtId="166" xfId="0" applyAlignment="1" applyBorder="1" applyFill="1" applyFont="1" applyNumberFormat="1">
      <alignment horizontal="center" shrinkToFit="0" vertical="center" wrapText="1"/>
    </xf>
    <xf borderId="1" fillId="0" fontId="25" numFmtId="0" xfId="0" applyAlignment="1" applyBorder="1" applyFont="1">
      <alignment horizontal="center" shrinkToFit="0" vertical="center" wrapText="1"/>
    </xf>
    <xf borderId="1" fillId="3" fontId="7" numFmtId="166" xfId="0" applyAlignment="1" applyBorder="1" applyFill="1" applyFont="1" applyNumberFormat="1">
      <alignment horizontal="center" shrinkToFit="0" vertical="center" wrapText="1"/>
    </xf>
    <xf borderId="1" fillId="0" fontId="26" numFmtId="0" xfId="0" applyAlignment="1" applyBorder="1" applyFont="1">
      <alignment horizontal="center" shrinkToFit="0" vertical="center" wrapText="1"/>
    </xf>
    <xf borderId="1" fillId="8" fontId="7" numFmtId="166" xfId="0" applyAlignment="1" applyBorder="1" applyFill="1" applyFont="1" applyNumberFormat="1">
      <alignment horizontal="center" shrinkToFit="0" vertical="center" wrapText="1"/>
    </xf>
    <xf borderId="1" fillId="0" fontId="16" numFmtId="0" xfId="0" applyAlignment="1" applyBorder="1" applyFont="1">
      <alignment horizontal="left" readingOrder="0" shrinkToFit="0" vertical="center" wrapText="1"/>
    </xf>
    <xf borderId="1" fillId="0" fontId="27" numFmtId="0" xfId="0" applyAlignment="1" applyBorder="1" applyFont="1">
      <alignment horizontal="center" shrinkToFit="0" vertical="center" wrapText="1"/>
    </xf>
    <xf borderId="1" fillId="9" fontId="7" numFmtId="166" xfId="0" applyAlignment="1" applyBorder="1" applyFill="1" applyFont="1" applyNumberFormat="1">
      <alignment horizontal="center" shrinkToFit="0" vertical="center" wrapText="1"/>
    </xf>
    <xf borderId="1" fillId="0" fontId="28" numFmtId="0" xfId="0" applyAlignment="1" applyBorder="1" applyFont="1">
      <alignment horizontal="center" shrinkToFit="0" vertical="center" wrapText="1"/>
    </xf>
    <xf borderId="1" fillId="10" fontId="7" numFmtId="166" xfId="0" applyAlignment="1" applyBorder="1" applyFill="1" applyFont="1" applyNumberFormat="1">
      <alignment horizontal="center" shrinkToFit="0" vertical="center" wrapText="1"/>
    </xf>
    <xf borderId="1" fillId="2" fontId="3" numFmtId="0" xfId="0" applyBorder="1" applyFill="1" applyFont="1"/>
    <xf borderId="1" fillId="2" fontId="13" numFmtId="1" xfId="0" applyBorder="1" applyFill="1" applyFont="1" applyNumberFormat="1"/>
    <xf borderId="0" fillId="0" fontId="29" numFmtId="0" xfId="0" applyFont="1"/>
    <xf borderId="0" fillId="0" fontId="30" numFmtId="1" xfId="0" applyFont="1" applyNumberFormat="1"/>
    <xf borderId="0" fillId="0" fontId="31" numFmtId="0" xfId="0" applyFont="1"/>
    <xf borderId="0" fillId="0" fontId="32" numFmtId="1" xfId="0" applyFont="1" applyNumberFormat="1"/>
    <xf borderId="2" fillId="5" fontId="7" numFmtId="0" xfId="0" applyAlignment="1" applyBorder="1" applyFill="1" applyFont="1">
      <alignment horizontal="center" shrinkToFit="0" vertical="center" wrapText="1"/>
    </xf>
    <xf borderId="2" fillId="4" fontId="7" numFmtId="0" xfId="0" applyAlignment="1" applyBorder="1" applyFill="1" applyFont="1">
      <alignment horizontal="center" shrinkToFit="0" vertical="center" wrapText="1"/>
    </xf>
    <xf borderId="2" fillId="7" fontId="7" numFmtId="0" xfId="0" applyAlignment="1" applyBorder="1" applyFill="1" applyFont="1">
      <alignment horizontal="center" shrinkToFit="0" vertical="center" wrapText="1"/>
    </xf>
    <xf borderId="2" fillId="3" fontId="7" numFmtId="0" xfId="0" applyAlignment="1" applyBorder="1" applyFill="1" applyFont="1">
      <alignment horizontal="center" shrinkToFit="0" vertical="center" wrapText="1"/>
    </xf>
    <xf borderId="2" fillId="6" fontId="7" numFmtId="0" xfId="0" applyAlignment="1" applyBorder="1" applyFill="1" applyFont="1">
      <alignment horizontal="center" shrinkToFit="0" vertical="center" wrapText="1"/>
    </xf>
    <xf borderId="2" fillId="9" fontId="7" numFmtId="0" xfId="0" applyAlignment="1" applyBorder="1" applyFill="1" applyFont="1">
      <alignment horizontal="center" shrinkToFit="0" vertical="center" wrapText="1"/>
    </xf>
    <xf borderId="2" fillId="8" fontId="7" numFmtId="0" xfId="0" applyAlignment="1" applyBorder="1" applyFill="1" applyFont="1">
      <alignment horizontal="center" shrinkToFit="0" vertical="center" wrapText="1"/>
    </xf>
    <xf borderId="2" fillId="2" fontId="7" numFmtId="0" xfId="0" applyAlignment="1" applyBorder="1" applyFill="1" applyFont="1">
      <alignment horizontal="center" shrinkToFit="0" vertical="center" wrapText="1"/>
    </xf>
    <xf borderId="2" fillId="10" fontId="7" numFmtId="0" xfId="0" applyAlignment="1" applyBorder="1" applyFill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42.0"/>
    <col customWidth="1" min="2" max="2" width="12.0"/>
    <col customWidth="1" min="3" max="3" width="14.0"/>
    <col customWidth="1" min="4" max="4" width="12.0"/>
    <col customWidth="1" min="5" max="5" width="42.0"/>
    <col customWidth="1" min="6" max="26" width="8.71"/>
  </cols>
  <sheetData>
    <row r="1" ht="24.0" customHeight="1">
      <c r="A1" s="1" t="s">
        <v>0</v>
      </c>
    </row>
    <row r="2">
      <c r="A2" s="2" t="s">
        <v>1</v>
      </c>
    </row>
    <row r="4">
      <c r="A4" s="3" t="s">
        <v>2</v>
      </c>
      <c r="B4" s="3" t="s">
        <v>3</v>
      </c>
      <c r="C4" s="3" t="s">
        <v>5</v>
      </c>
      <c r="D4" s="3" t="s">
        <v>6</v>
      </c>
      <c r="E4" s="3" t="s">
        <v>7</v>
      </c>
    </row>
    <row r="5">
      <c r="A5" s="4" t="s">
        <v>8</v>
      </c>
      <c r="B5" s="5">
        <v>1.0</v>
      </c>
      <c r="C5" s="5">
        <v>20.0</v>
      </c>
      <c r="D5" s="5">
        <v>4.0</v>
      </c>
      <c r="E5" s="7" t="s">
        <v>10</v>
      </c>
    </row>
    <row r="6">
      <c r="A6" s="8" t="s">
        <v>11</v>
      </c>
      <c r="B6" s="5">
        <v>1.0</v>
      </c>
      <c r="C6" s="5">
        <v>18.0</v>
      </c>
      <c r="D6" s="5">
        <v>4.0</v>
      </c>
      <c r="E6" s="7" t="s">
        <v>13</v>
      </c>
    </row>
    <row r="7">
      <c r="A7" s="8" t="s">
        <v>14</v>
      </c>
      <c r="B7" s="5">
        <v>1.0</v>
      </c>
      <c r="C7" s="5">
        <v>22.0</v>
      </c>
      <c r="D7" s="5">
        <v>4.0</v>
      </c>
      <c r="E7" s="7" t="s">
        <v>10</v>
      </c>
    </row>
    <row r="8">
      <c r="A8" s="8" t="s">
        <v>19</v>
      </c>
      <c r="B8" s="5">
        <v>1.0</v>
      </c>
      <c r="C8" s="5">
        <v>23.0</v>
      </c>
      <c r="D8" s="5">
        <v>5.0</v>
      </c>
      <c r="E8" s="7" t="s">
        <v>10</v>
      </c>
    </row>
    <row r="9">
      <c r="A9" s="8" t="s">
        <v>22</v>
      </c>
      <c r="B9" s="5">
        <v>1.0</v>
      </c>
      <c r="C9" s="5">
        <v>22.0</v>
      </c>
      <c r="D9" s="5">
        <v>4.0</v>
      </c>
      <c r="E9" s="7" t="s">
        <v>24</v>
      </c>
    </row>
    <row r="10">
      <c r="A10" s="4" t="s">
        <v>25</v>
      </c>
      <c r="B10" s="5">
        <v>2.0</v>
      </c>
      <c r="C10" s="5">
        <v>24.0</v>
      </c>
      <c r="D10" s="5">
        <v>3.0</v>
      </c>
      <c r="E10" s="7" t="s">
        <v>26</v>
      </c>
    </row>
    <row r="11">
      <c r="A11" s="4" t="s">
        <v>27</v>
      </c>
      <c r="B11" s="5">
        <v>2.0</v>
      </c>
      <c r="C11" s="5">
        <v>20.0</v>
      </c>
      <c r="D11" s="5">
        <v>3.0</v>
      </c>
      <c r="E11" s="7" t="s">
        <v>28</v>
      </c>
    </row>
    <row r="12">
      <c r="A12" s="10" t="s">
        <v>29</v>
      </c>
      <c r="B12" s="5">
        <v>2.0</v>
      </c>
      <c r="C12" s="5">
        <v>14.0</v>
      </c>
      <c r="D12" s="5">
        <v>3.0</v>
      </c>
      <c r="E12" s="7" t="s">
        <v>13</v>
      </c>
    </row>
    <row r="13">
      <c r="A13" s="10" t="s">
        <v>30</v>
      </c>
      <c r="B13" s="5">
        <v>2.0</v>
      </c>
      <c r="C13" s="5">
        <v>19.0</v>
      </c>
      <c r="D13" s="5">
        <v>4.0</v>
      </c>
      <c r="E13" s="7" t="s">
        <v>13</v>
      </c>
    </row>
    <row r="14">
      <c r="A14" s="11" t="s">
        <v>31</v>
      </c>
      <c r="B14" s="5">
        <v>3.0</v>
      </c>
      <c r="C14" s="5">
        <v>21.0</v>
      </c>
      <c r="D14" s="5">
        <v>4.0</v>
      </c>
      <c r="E14" s="7" t="s">
        <v>24</v>
      </c>
    </row>
    <row r="15">
      <c r="A15" s="11" t="s">
        <v>32</v>
      </c>
      <c r="B15" s="5">
        <v>3.0</v>
      </c>
      <c r="C15" s="5">
        <v>28.0</v>
      </c>
      <c r="D15" s="5">
        <v>7.0</v>
      </c>
      <c r="E15" s="7" t="s">
        <v>24</v>
      </c>
    </row>
    <row r="16">
      <c r="A16" s="11" t="s">
        <v>33</v>
      </c>
      <c r="B16" s="5">
        <v>3.0</v>
      </c>
      <c r="C16" s="5">
        <v>11.0</v>
      </c>
      <c r="D16" s="5">
        <v>3.0</v>
      </c>
      <c r="E16" s="7" t="s">
        <v>13</v>
      </c>
    </row>
    <row r="17">
      <c r="A17" s="11" t="s">
        <v>34</v>
      </c>
      <c r="B17" s="5">
        <v>3.0</v>
      </c>
      <c r="C17" s="5">
        <v>23.0</v>
      </c>
      <c r="D17" s="5">
        <v>5.0</v>
      </c>
      <c r="E17" s="7" t="s">
        <v>24</v>
      </c>
    </row>
    <row r="18">
      <c r="A18" s="10" t="s">
        <v>35</v>
      </c>
      <c r="B18" s="5">
        <v>3.0</v>
      </c>
      <c r="C18" s="5">
        <v>11.0</v>
      </c>
      <c r="D18" s="5">
        <v>3.0</v>
      </c>
      <c r="E18" s="7" t="s">
        <v>36</v>
      </c>
    </row>
    <row r="19">
      <c r="A19" s="12" t="s">
        <v>37</v>
      </c>
      <c r="B19" s="5">
        <v>4.0</v>
      </c>
      <c r="C19" s="5">
        <v>14.0</v>
      </c>
      <c r="D19" s="5">
        <v>3.0</v>
      </c>
      <c r="E19" s="7" t="s">
        <v>10</v>
      </c>
    </row>
    <row r="20">
      <c r="A20" s="12" t="s">
        <v>38</v>
      </c>
      <c r="B20" s="5">
        <v>4.0</v>
      </c>
      <c r="C20" s="5">
        <v>15.0</v>
      </c>
      <c r="D20" s="5">
        <v>3.0</v>
      </c>
      <c r="E20" s="7" t="s">
        <v>10</v>
      </c>
    </row>
    <row r="21" ht="15.75" customHeight="1">
      <c r="A21" s="12" t="s">
        <v>39</v>
      </c>
      <c r="B21" s="5">
        <v>4.0</v>
      </c>
      <c r="C21" s="5">
        <v>15.0</v>
      </c>
      <c r="D21" s="5">
        <v>3.0</v>
      </c>
      <c r="E21" s="7" t="s">
        <v>10</v>
      </c>
    </row>
    <row r="22" ht="15.75" customHeight="1">
      <c r="A22" s="13" t="s">
        <v>40</v>
      </c>
      <c r="B22" s="5">
        <v>4.0</v>
      </c>
      <c r="C22" s="5">
        <v>23.0</v>
      </c>
      <c r="D22" s="5">
        <v>5.0</v>
      </c>
      <c r="E22" s="7" t="s">
        <v>13</v>
      </c>
    </row>
    <row r="23" ht="15.75" customHeight="1">
      <c r="A23" s="13" t="s">
        <v>41</v>
      </c>
      <c r="B23" s="5">
        <v>4.0</v>
      </c>
      <c r="C23" s="5">
        <v>17.0</v>
      </c>
      <c r="D23" s="5">
        <v>3.0</v>
      </c>
      <c r="E23" s="7" t="s">
        <v>42</v>
      </c>
    </row>
    <row r="24" ht="15.75" customHeight="1">
      <c r="A24" s="13" t="s">
        <v>43</v>
      </c>
      <c r="B24" s="5">
        <v>5.0</v>
      </c>
      <c r="C24" s="5">
        <v>63.0</v>
      </c>
      <c r="D24" s="5">
        <v>9.0</v>
      </c>
      <c r="E24" s="7" t="s">
        <v>24</v>
      </c>
    </row>
    <row r="25" ht="15.75" customHeight="1">
      <c r="A25" s="15" t="s">
        <v>44</v>
      </c>
      <c r="B25" s="5">
        <v>5.0</v>
      </c>
      <c r="C25" s="5">
        <v>31.0</v>
      </c>
      <c r="D25" s="5">
        <v>5.0</v>
      </c>
      <c r="E25" s="7" t="s">
        <v>24</v>
      </c>
    </row>
    <row r="26" ht="15.75" customHeight="1">
      <c r="A26" s="15" t="s">
        <v>45</v>
      </c>
      <c r="B26" s="5">
        <v>5.0</v>
      </c>
      <c r="C26" s="5">
        <v>15.0</v>
      </c>
      <c r="D26" s="5">
        <v>3.0</v>
      </c>
      <c r="E26" s="7" t="s">
        <v>10</v>
      </c>
    </row>
    <row r="27" ht="15.75" customHeight="1">
      <c r="A27" s="16" t="s">
        <v>46</v>
      </c>
      <c r="B27" s="16"/>
      <c r="C27" s="17">
        <f t="shared" ref="C27:D27" si="1">SUM(C5:C26)</f>
        <v>469</v>
      </c>
      <c r="D27" s="16">
        <f t="shared" si="1"/>
        <v>90</v>
      </c>
      <c r="E27" s="16"/>
    </row>
    <row r="28" ht="15.75" customHeight="1"/>
    <row r="29" ht="15.75" customHeight="1">
      <c r="A29" s="19" t="s">
        <v>48</v>
      </c>
      <c r="C29" s="19">
        <v>36.0</v>
      </c>
    </row>
    <row r="30" ht="15.75" customHeight="1">
      <c r="A30" s="19" t="s">
        <v>50</v>
      </c>
      <c r="C30" s="19">
        <v>79.0</v>
      </c>
    </row>
    <row r="31" ht="15.75" customHeight="1">
      <c r="A31" s="22" t="s">
        <v>51</v>
      </c>
      <c r="C31" s="31">
        <f>C27+C29+C30</f>
        <v>584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printOptions/>
  <pageMargins bottom="1.0" footer="0.0" header="0.0" left="0.75" right="0.75" top="1.0"/>
  <pageSetup paperSize="3" orientation="landscape"/>
  <headerFooter>
    <oddFooter>&amp;RDebe leer 469 en el total PDF y 90 tareas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8.0" ySplit="4.0" topLeftCell="I5" activePane="bottomRight" state="frozen"/>
      <selection activeCell="I1" sqref="I1" pane="topRight"/>
      <selection activeCell="A5" sqref="A5" pane="bottomLeft"/>
      <selection activeCell="I5" sqref="I5" pane="bottomRight"/>
    </sheetView>
  </sheetViews>
  <sheetFormatPr customHeight="1" defaultColWidth="14.43" defaultRowHeight="15.0"/>
  <cols>
    <col customWidth="1" min="1" max="1" width="18.0"/>
    <col customWidth="1" min="2" max="2" width="62.0"/>
    <col customWidth="1" min="3" max="4" width="14.0"/>
    <col customWidth="1" min="5" max="5" width="28.0"/>
    <col customWidth="1" min="6" max="6" width="10.0"/>
    <col customWidth="1" min="7" max="8" width="14.0"/>
    <col customWidth="1" min="9" max="75" width="4.14"/>
  </cols>
  <sheetData>
    <row r="1">
      <c r="A1" s="1" t="s">
        <v>4</v>
      </c>
    </row>
    <row r="2" ht="36.0" customHeight="1">
      <c r="A2" s="6" t="s">
        <v>9</v>
      </c>
    </row>
    <row r="4" ht="48.0" customHeight="1">
      <c r="A4" s="3" t="s">
        <v>12</v>
      </c>
      <c r="B4" s="3" t="s">
        <v>15</v>
      </c>
      <c r="C4" s="3" t="s">
        <v>16</v>
      </c>
      <c r="D4" s="3" t="s">
        <v>17</v>
      </c>
      <c r="E4" s="3" t="s">
        <v>18</v>
      </c>
      <c r="F4" s="3" t="s">
        <v>20</v>
      </c>
      <c r="G4" s="3" t="s">
        <v>21</v>
      </c>
      <c r="H4" s="3" t="s">
        <v>23</v>
      </c>
      <c r="I4" s="9">
        <v>46251.0</v>
      </c>
      <c r="J4" s="9">
        <v>46252.0</v>
      </c>
      <c r="K4" s="9">
        <v>46253.0</v>
      </c>
      <c r="L4" s="9">
        <v>46254.0</v>
      </c>
      <c r="M4" s="9">
        <v>46255.0</v>
      </c>
      <c r="N4" s="9">
        <v>46258.0</v>
      </c>
      <c r="O4" s="9">
        <v>46259.0</v>
      </c>
      <c r="P4" s="9">
        <v>46260.0</v>
      </c>
      <c r="Q4" s="9">
        <v>46261.0</v>
      </c>
      <c r="R4" s="9">
        <v>46262.0</v>
      </c>
      <c r="S4" s="9">
        <v>46265.0</v>
      </c>
      <c r="T4" s="9">
        <v>46266.0</v>
      </c>
      <c r="U4" s="9">
        <v>46267.0</v>
      </c>
      <c r="V4" s="9">
        <v>46268.0</v>
      </c>
      <c r="W4" s="9">
        <v>46269.0</v>
      </c>
      <c r="X4" s="9">
        <v>46272.0</v>
      </c>
      <c r="Y4" s="9">
        <v>46273.0</v>
      </c>
      <c r="Z4" s="9">
        <v>46274.0</v>
      </c>
      <c r="AA4" s="9">
        <v>46275.0</v>
      </c>
      <c r="AB4" s="9">
        <v>46276.0</v>
      </c>
      <c r="AC4" s="9">
        <v>46279.0</v>
      </c>
      <c r="AD4" s="9">
        <v>46280.0</v>
      </c>
      <c r="AE4" s="9">
        <v>46281.0</v>
      </c>
      <c r="AF4" s="9">
        <v>46282.0</v>
      </c>
      <c r="AG4" s="14">
        <v>46283.0</v>
      </c>
      <c r="AH4" s="9">
        <v>46286.0</v>
      </c>
      <c r="AI4" s="9">
        <v>46287.0</v>
      </c>
      <c r="AJ4" s="9">
        <v>46288.0</v>
      </c>
      <c r="AK4" s="9">
        <v>46289.0</v>
      </c>
      <c r="AL4" s="9">
        <v>46290.0</v>
      </c>
      <c r="AM4" s="9">
        <v>46293.0</v>
      </c>
      <c r="AN4" s="9">
        <v>46294.0</v>
      </c>
      <c r="AO4" s="9">
        <v>46295.0</v>
      </c>
      <c r="AP4" s="9">
        <v>46296.0</v>
      </c>
      <c r="AQ4" s="9">
        <v>46297.0</v>
      </c>
      <c r="AR4" s="9">
        <v>46300.0</v>
      </c>
      <c r="AS4" s="9">
        <v>46301.0</v>
      </c>
      <c r="AT4" s="9">
        <v>46302.0</v>
      </c>
      <c r="AU4" s="9">
        <v>46303.0</v>
      </c>
      <c r="AV4" s="9">
        <v>46304.0</v>
      </c>
      <c r="AW4" s="9">
        <v>46307.0</v>
      </c>
      <c r="AX4" s="9">
        <v>46308.0</v>
      </c>
      <c r="AY4" s="9">
        <v>46309.0</v>
      </c>
      <c r="AZ4" s="9">
        <v>46310.0</v>
      </c>
      <c r="BA4" s="9">
        <v>46311.0</v>
      </c>
      <c r="BB4" s="9">
        <v>46314.0</v>
      </c>
      <c r="BC4" s="9">
        <v>46315.0</v>
      </c>
      <c r="BD4" s="9">
        <v>46316.0</v>
      </c>
      <c r="BE4" s="9">
        <v>46317.0</v>
      </c>
      <c r="BF4" s="9">
        <v>46318.0</v>
      </c>
      <c r="BG4" s="9">
        <v>46321.0</v>
      </c>
      <c r="BH4" s="9">
        <v>46322.0</v>
      </c>
      <c r="BI4" s="9">
        <v>46323.0</v>
      </c>
      <c r="BJ4" s="9">
        <v>46324.0</v>
      </c>
      <c r="BK4" s="9">
        <v>46325.0</v>
      </c>
      <c r="BL4" s="9">
        <v>46328.0</v>
      </c>
      <c r="BM4" s="9">
        <v>46329.0</v>
      </c>
      <c r="BN4" s="9">
        <v>46330.0</v>
      </c>
      <c r="BO4" s="9">
        <v>46331.0</v>
      </c>
      <c r="BP4" s="9">
        <v>46332.0</v>
      </c>
      <c r="BQ4" s="9">
        <v>46335.0</v>
      </c>
      <c r="BR4" s="9">
        <v>46336.0</v>
      </c>
      <c r="BS4" s="9">
        <v>46337.0</v>
      </c>
      <c r="BT4" s="9">
        <v>46338.0</v>
      </c>
      <c r="BU4" s="9">
        <v>46339.0</v>
      </c>
      <c r="BV4" s="9">
        <v>46342.0</v>
      </c>
      <c r="BW4" s="9">
        <v>46343.0</v>
      </c>
    </row>
    <row r="5" ht="18.0" customHeight="1">
      <c r="A5" s="18" t="s">
        <v>47</v>
      </c>
      <c r="B5" s="20" t="s">
        <v>49</v>
      </c>
      <c r="C5" s="21" t="s">
        <v>48</v>
      </c>
      <c r="D5" s="21" t="s">
        <v>52</v>
      </c>
      <c r="E5" s="21" t="s">
        <v>28</v>
      </c>
      <c r="F5" s="23">
        <v>3.0</v>
      </c>
      <c r="G5" s="24">
        <v>46251.0</v>
      </c>
      <c r="H5" s="24">
        <v>46251.0</v>
      </c>
      <c r="I5" s="25">
        <v>3.0</v>
      </c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</row>
    <row r="6" ht="18.0" customHeight="1">
      <c r="A6" s="18" t="s">
        <v>47</v>
      </c>
      <c r="B6" s="20" t="s">
        <v>53</v>
      </c>
      <c r="C6" s="21" t="s">
        <v>48</v>
      </c>
      <c r="D6" s="21" t="s">
        <v>52</v>
      </c>
      <c r="E6" s="21" t="s">
        <v>28</v>
      </c>
      <c r="F6" s="23">
        <v>3.0</v>
      </c>
      <c r="G6" s="24">
        <v>46251.0</v>
      </c>
      <c r="H6" s="24">
        <v>46251.0</v>
      </c>
      <c r="I6" s="25">
        <v>3.0</v>
      </c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</row>
    <row r="7" ht="18.0" customHeight="1">
      <c r="A7" s="18" t="s">
        <v>47</v>
      </c>
      <c r="B7" s="20" t="s">
        <v>54</v>
      </c>
      <c r="C7" s="21" t="s">
        <v>48</v>
      </c>
      <c r="D7" s="21" t="s">
        <v>55</v>
      </c>
      <c r="E7" s="21" t="s">
        <v>36</v>
      </c>
      <c r="F7" s="23">
        <v>6.0</v>
      </c>
      <c r="G7" s="24">
        <v>46251.0</v>
      </c>
      <c r="H7" s="24">
        <v>46252.0</v>
      </c>
      <c r="I7" s="25">
        <v>4.0</v>
      </c>
      <c r="J7" s="25">
        <v>2.0</v>
      </c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</row>
    <row r="8" ht="18.0" customHeight="1">
      <c r="A8" s="18" t="s">
        <v>47</v>
      </c>
      <c r="B8" s="20" t="s">
        <v>56</v>
      </c>
      <c r="C8" s="21" t="s">
        <v>48</v>
      </c>
      <c r="D8" s="21" t="s">
        <v>55</v>
      </c>
      <c r="E8" s="21" t="s">
        <v>36</v>
      </c>
      <c r="F8" s="23">
        <v>6.0</v>
      </c>
      <c r="G8" s="24">
        <v>46252.0</v>
      </c>
      <c r="H8" s="24">
        <v>46252.0</v>
      </c>
      <c r="I8" s="26"/>
      <c r="J8" s="25">
        <v>6.0</v>
      </c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</row>
    <row r="9" ht="18.0" customHeight="1">
      <c r="A9" s="18" t="s">
        <v>47</v>
      </c>
      <c r="B9" s="20" t="s">
        <v>57</v>
      </c>
      <c r="C9" s="21" t="s">
        <v>48</v>
      </c>
      <c r="D9" s="21" t="s">
        <v>58</v>
      </c>
      <c r="E9" s="21" t="s">
        <v>59</v>
      </c>
      <c r="F9" s="23">
        <v>18.0</v>
      </c>
      <c r="G9" s="24">
        <v>46252.0</v>
      </c>
      <c r="H9" s="24">
        <v>46253.0</v>
      </c>
      <c r="I9" s="26"/>
      <c r="J9" s="25">
        <v>12.0</v>
      </c>
      <c r="K9" s="25">
        <v>6.0</v>
      </c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</row>
    <row r="10" ht="18.0" customHeight="1">
      <c r="A10" s="27" t="s">
        <v>60</v>
      </c>
      <c r="B10" s="20" t="s">
        <v>61</v>
      </c>
      <c r="C10" s="21" t="s">
        <v>62</v>
      </c>
      <c r="D10" s="21" t="s">
        <v>63</v>
      </c>
      <c r="E10" s="21" t="s">
        <v>26</v>
      </c>
      <c r="F10" s="23">
        <v>6.0</v>
      </c>
      <c r="G10" s="24">
        <v>46265.0</v>
      </c>
      <c r="H10" s="24">
        <v>46265.0</v>
      </c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8">
        <v>6.0</v>
      </c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</row>
    <row r="11" ht="18.0" customHeight="1">
      <c r="A11" s="27" t="s">
        <v>64</v>
      </c>
      <c r="B11" s="20" t="s">
        <v>65</v>
      </c>
      <c r="C11" s="21" t="s">
        <v>62</v>
      </c>
      <c r="D11" s="21" t="s">
        <v>63</v>
      </c>
      <c r="E11" s="21" t="s">
        <v>26</v>
      </c>
      <c r="F11" s="23">
        <v>4.0</v>
      </c>
      <c r="G11" s="24">
        <v>46265.0</v>
      </c>
      <c r="H11" s="24">
        <v>46266.0</v>
      </c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8">
        <v>2.0</v>
      </c>
      <c r="T11" s="28">
        <v>2.0</v>
      </c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</row>
    <row r="12" ht="18.0" customHeight="1">
      <c r="A12" s="27" t="s">
        <v>66</v>
      </c>
      <c r="B12" s="20" t="s">
        <v>67</v>
      </c>
      <c r="C12" s="21" t="s">
        <v>62</v>
      </c>
      <c r="D12" s="21" t="s">
        <v>68</v>
      </c>
      <c r="E12" s="21" t="s">
        <v>26</v>
      </c>
      <c r="F12" s="23">
        <v>6.0</v>
      </c>
      <c r="G12" s="24">
        <v>46266.0</v>
      </c>
      <c r="H12" s="24">
        <v>46266.0</v>
      </c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8">
        <v>6.0</v>
      </c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</row>
    <row r="13" ht="18.0" customHeight="1">
      <c r="A13" s="27" t="s">
        <v>69</v>
      </c>
      <c r="B13" s="20" t="s">
        <v>70</v>
      </c>
      <c r="C13" s="21" t="s">
        <v>62</v>
      </c>
      <c r="D13" s="21" t="s">
        <v>71</v>
      </c>
      <c r="E13" s="21" t="s">
        <v>72</v>
      </c>
      <c r="F13" s="23">
        <v>4.0</v>
      </c>
      <c r="G13" s="24">
        <v>46265.0</v>
      </c>
      <c r="H13" s="24">
        <v>46265.0</v>
      </c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8">
        <v>4.0</v>
      </c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</row>
    <row r="14" ht="18.0" customHeight="1">
      <c r="A14" s="29" t="s">
        <v>73</v>
      </c>
      <c r="B14" s="20" t="s">
        <v>74</v>
      </c>
      <c r="C14" s="21" t="s">
        <v>62</v>
      </c>
      <c r="D14" s="21" t="s">
        <v>63</v>
      </c>
      <c r="E14" s="21" t="s">
        <v>26</v>
      </c>
      <c r="F14" s="23">
        <v>5.0</v>
      </c>
      <c r="G14" s="24">
        <v>46267.0</v>
      </c>
      <c r="H14" s="24">
        <v>46267.0</v>
      </c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30">
        <v>5.0</v>
      </c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</row>
    <row r="15" ht="18.0" customHeight="1">
      <c r="A15" s="29" t="s">
        <v>75</v>
      </c>
      <c r="B15" s="20" t="s">
        <v>76</v>
      </c>
      <c r="C15" s="21" t="s">
        <v>62</v>
      </c>
      <c r="D15" s="21" t="s">
        <v>77</v>
      </c>
      <c r="E15" s="21" t="s">
        <v>28</v>
      </c>
      <c r="F15" s="23">
        <v>5.0</v>
      </c>
      <c r="G15" s="24">
        <v>46265.0</v>
      </c>
      <c r="H15" s="24">
        <v>46265.0</v>
      </c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30">
        <v>5.0</v>
      </c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</row>
    <row r="16" ht="30.0" customHeight="1">
      <c r="A16" s="29" t="s">
        <v>78</v>
      </c>
      <c r="B16" s="20" t="s">
        <v>79</v>
      </c>
      <c r="C16" s="21" t="s">
        <v>62</v>
      </c>
      <c r="D16" s="21" t="s">
        <v>77</v>
      </c>
      <c r="E16" s="21" t="s">
        <v>28</v>
      </c>
      <c r="F16" s="23">
        <v>4.0</v>
      </c>
      <c r="G16" s="24">
        <v>46265.0</v>
      </c>
      <c r="H16" s="24">
        <v>46266.0</v>
      </c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30">
        <v>3.0</v>
      </c>
      <c r="T16" s="30">
        <v>1.0</v>
      </c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</row>
    <row r="17" ht="18.0" customHeight="1">
      <c r="A17" s="29" t="s">
        <v>80</v>
      </c>
      <c r="B17" s="20" t="s">
        <v>81</v>
      </c>
      <c r="C17" s="21" t="s">
        <v>62</v>
      </c>
      <c r="D17" s="21" t="s">
        <v>71</v>
      </c>
      <c r="E17" s="21" t="s">
        <v>72</v>
      </c>
      <c r="F17" s="23">
        <v>4.0</v>
      </c>
      <c r="G17" s="24">
        <v>46265.0</v>
      </c>
      <c r="H17" s="24">
        <v>46265.0</v>
      </c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30">
        <v>4.0</v>
      </c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</row>
    <row r="18" ht="18.0" customHeight="1">
      <c r="A18" s="29" t="s">
        <v>82</v>
      </c>
      <c r="B18" s="20" t="s">
        <v>83</v>
      </c>
      <c r="C18" s="21" t="s">
        <v>62</v>
      </c>
      <c r="D18" s="21" t="s">
        <v>63</v>
      </c>
      <c r="E18" s="21" t="s">
        <v>26</v>
      </c>
      <c r="F18" s="23">
        <v>6.0</v>
      </c>
      <c r="G18" s="24">
        <v>46267.0</v>
      </c>
      <c r="H18" s="24">
        <v>46268.0</v>
      </c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30">
        <v>3.0</v>
      </c>
      <c r="V18" s="30">
        <v>3.0</v>
      </c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</row>
    <row r="19" ht="30.0" customHeight="1">
      <c r="A19" s="29" t="s">
        <v>84</v>
      </c>
      <c r="B19" s="20" t="s">
        <v>85</v>
      </c>
      <c r="C19" s="21" t="s">
        <v>62</v>
      </c>
      <c r="D19" s="21" t="s">
        <v>63</v>
      </c>
      <c r="E19" s="21" t="s">
        <v>26</v>
      </c>
      <c r="F19" s="23">
        <v>7.0</v>
      </c>
      <c r="G19" s="24">
        <v>46268.0</v>
      </c>
      <c r="H19" s="24">
        <v>46269.0</v>
      </c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30">
        <v>5.0</v>
      </c>
      <c r="W19" s="30">
        <v>2.0</v>
      </c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</row>
    <row r="20" ht="18.0" customHeight="1">
      <c r="A20" s="29" t="s">
        <v>86</v>
      </c>
      <c r="B20" s="20" t="s">
        <v>87</v>
      </c>
      <c r="C20" s="21" t="s">
        <v>62</v>
      </c>
      <c r="D20" s="21" t="s">
        <v>63</v>
      </c>
      <c r="E20" s="21" t="s">
        <v>26</v>
      </c>
      <c r="F20" s="23">
        <v>5.0</v>
      </c>
      <c r="G20" s="24">
        <v>46269.0</v>
      </c>
      <c r="H20" s="24">
        <v>46269.0</v>
      </c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30">
        <v>5.0</v>
      </c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</row>
    <row r="21" ht="18.0" customHeight="1">
      <c r="A21" s="29" t="s">
        <v>88</v>
      </c>
      <c r="B21" s="20" t="s">
        <v>89</v>
      </c>
      <c r="C21" s="21" t="s">
        <v>62</v>
      </c>
      <c r="D21" s="21" t="s">
        <v>71</v>
      </c>
      <c r="E21" s="21" t="s">
        <v>72</v>
      </c>
      <c r="F21" s="23">
        <v>4.0</v>
      </c>
      <c r="G21" s="24">
        <v>46266.0</v>
      </c>
      <c r="H21" s="24">
        <v>46266.0</v>
      </c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30">
        <v>4.0</v>
      </c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6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</row>
    <row r="22" ht="18.0" customHeight="1">
      <c r="A22" s="29" t="s">
        <v>90</v>
      </c>
      <c r="B22" s="20" t="s">
        <v>91</v>
      </c>
      <c r="C22" s="21" t="s">
        <v>62</v>
      </c>
      <c r="D22" s="21" t="s">
        <v>63</v>
      </c>
      <c r="E22" s="21" t="s">
        <v>26</v>
      </c>
      <c r="F22" s="23">
        <v>5.0</v>
      </c>
      <c r="G22" s="24">
        <v>46269.0</v>
      </c>
      <c r="H22" s="24">
        <v>46272.0</v>
      </c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30">
        <v>1.0</v>
      </c>
      <c r="X22" s="30">
        <v>4.0</v>
      </c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6"/>
      <c r="AK22" s="26"/>
      <c r="AL22" s="26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</row>
    <row r="23" ht="18.0" customHeight="1">
      <c r="A23" s="29" t="s">
        <v>92</v>
      </c>
      <c r="B23" s="20" t="s">
        <v>93</v>
      </c>
      <c r="C23" s="21" t="s">
        <v>62</v>
      </c>
      <c r="D23" s="21" t="s">
        <v>63</v>
      </c>
      <c r="E23" s="21" t="s">
        <v>26</v>
      </c>
      <c r="F23" s="23">
        <v>5.0</v>
      </c>
      <c r="G23" s="24">
        <v>46272.0</v>
      </c>
      <c r="H23" s="24">
        <v>46273.0</v>
      </c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30">
        <v>4.0</v>
      </c>
      <c r="Y23" s="30">
        <v>1.0</v>
      </c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</row>
    <row r="24" ht="30.0" customHeight="1">
      <c r="A24" s="29" t="s">
        <v>94</v>
      </c>
      <c r="B24" s="20" t="s">
        <v>95</v>
      </c>
      <c r="C24" s="21" t="s">
        <v>62</v>
      </c>
      <c r="D24" s="21" t="s">
        <v>63</v>
      </c>
      <c r="E24" s="21" t="s">
        <v>26</v>
      </c>
      <c r="F24" s="23">
        <v>5.0</v>
      </c>
      <c r="G24" s="24">
        <v>46273.0</v>
      </c>
      <c r="H24" s="24">
        <v>46273.0</v>
      </c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30">
        <v>5.0</v>
      </c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</row>
    <row r="25" ht="18.0" customHeight="1">
      <c r="A25" s="29" t="s">
        <v>96</v>
      </c>
      <c r="B25" s="20" t="s">
        <v>97</v>
      </c>
      <c r="C25" s="21" t="s">
        <v>62</v>
      </c>
      <c r="D25" s="21" t="s">
        <v>68</v>
      </c>
      <c r="E25" s="21" t="s">
        <v>26</v>
      </c>
      <c r="F25" s="23">
        <v>4.0</v>
      </c>
      <c r="G25" s="24">
        <v>46273.0</v>
      </c>
      <c r="H25" s="24">
        <v>46274.0</v>
      </c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30">
        <v>2.0</v>
      </c>
      <c r="Z25" s="30">
        <v>2.0</v>
      </c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</row>
    <row r="26" ht="18.0" customHeight="1">
      <c r="A26" s="29" t="s">
        <v>98</v>
      </c>
      <c r="B26" s="20" t="s">
        <v>99</v>
      </c>
      <c r="C26" s="21" t="s">
        <v>62</v>
      </c>
      <c r="D26" s="21" t="s">
        <v>71</v>
      </c>
      <c r="E26" s="21" t="s">
        <v>72</v>
      </c>
      <c r="F26" s="23">
        <v>4.0</v>
      </c>
      <c r="G26" s="24">
        <v>46266.0</v>
      </c>
      <c r="H26" s="24">
        <v>46266.0</v>
      </c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30">
        <v>4.0</v>
      </c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</row>
    <row r="27" ht="18.0" customHeight="1">
      <c r="A27" s="29" t="s">
        <v>100</v>
      </c>
      <c r="B27" s="20" t="s">
        <v>101</v>
      </c>
      <c r="C27" s="21" t="s">
        <v>62</v>
      </c>
      <c r="D27" s="21" t="s">
        <v>77</v>
      </c>
      <c r="E27" s="21" t="s">
        <v>28</v>
      </c>
      <c r="F27" s="23">
        <v>5.0</v>
      </c>
      <c r="G27" s="24">
        <v>46266.0</v>
      </c>
      <c r="H27" s="24">
        <v>46266.0</v>
      </c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30">
        <v>5.0</v>
      </c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</row>
    <row r="28" ht="18.0" customHeight="1">
      <c r="A28" s="29" t="s">
        <v>102</v>
      </c>
      <c r="B28" s="20" t="s">
        <v>103</v>
      </c>
      <c r="C28" s="21" t="s">
        <v>62</v>
      </c>
      <c r="D28" s="21" t="s">
        <v>63</v>
      </c>
      <c r="E28" s="21" t="s">
        <v>26</v>
      </c>
      <c r="F28" s="23">
        <v>6.0</v>
      </c>
      <c r="G28" s="24">
        <v>46274.0</v>
      </c>
      <c r="H28" s="24">
        <v>46274.0</v>
      </c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30">
        <v>6.0</v>
      </c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</row>
    <row r="29" ht="30.0" customHeight="1">
      <c r="A29" s="29" t="s">
        <v>104</v>
      </c>
      <c r="B29" s="20" t="s">
        <v>105</v>
      </c>
      <c r="C29" s="21" t="s">
        <v>62</v>
      </c>
      <c r="D29" s="21" t="s">
        <v>63</v>
      </c>
      <c r="E29" s="21" t="s">
        <v>26</v>
      </c>
      <c r="F29" s="23">
        <v>7.0</v>
      </c>
      <c r="G29" s="24">
        <v>46275.0</v>
      </c>
      <c r="H29" s="24">
        <v>46275.0</v>
      </c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30">
        <v>7.0</v>
      </c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</row>
    <row r="30" ht="18.0" customHeight="1">
      <c r="A30" s="29" t="s">
        <v>106</v>
      </c>
      <c r="B30" s="20" t="s">
        <v>107</v>
      </c>
      <c r="C30" s="21" t="s">
        <v>62</v>
      </c>
      <c r="D30" s="21" t="s">
        <v>71</v>
      </c>
      <c r="E30" s="21" t="s">
        <v>72</v>
      </c>
      <c r="F30" s="23">
        <v>4.0</v>
      </c>
      <c r="G30" s="24">
        <v>46267.0</v>
      </c>
      <c r="H30" s="24">
        <v>46267.0</v>
      </c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30">
        <v>4.0</v>
      </c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</row>
    <row r="31" ht="30.0" customHeight="1">
      <c r="A31" s="27" t="s">
        <v>108</v>
      </c>
      <c r="B31" s="20" t="s">
        <v>109</v>
      </c>
      <c r="C31" s="21" t="s">
        <v>110</v>
      </c>
      <c r="D31" s="21" t="s">
        <v>63</v>
      </c>
      <c r="E31" s="21" t="s">
        <v>26</v>
      </c>
      <c r="F31" s="23">
        <v>8.0</v>
      </c>
      <c r="G31" s="24">
        <v>46279.0</v>
      </c>
      <c r="H31" s="24">
        <v>46279.0</v>
      </c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8">
        <v>8.0</v>
      </c>
      <c r="AD31" s="26"/>
      <c r="AE31" s="26"/>
      <c r="AF31" s="26"/>
      <c r="AG31" s="26"/>
      <c r="AH31" s="26"/>
      <c r="AI31" s="26"/>
      <c r="AJ31" s="26"/>
      <c r="AK31" s="26"/>
      <c r="AL31" s="26"/>
      <c r="AM31" s="26"/>
      <c r="AN31" s="26"/>
      <c r="AO31" s="26"/>
      <c r="AP31" s="26"/>
      <c r="AQ31" s="26"/>
      <c r="AR31" s="26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</row>
    <row r="32" ht="30.0" customHeight="1">
      <c r="A32" s="27" t="s">
        <v>111</v>
      </c>
      <c r="B32" s="20" t="s">
        <v>112</v>
      </c>
      <c r="C32" s="21" t="s">
        <v>110</v>
      </c>
      <c r="D32" s="21" t="s">
        <v>63</v>
      </c>
      <c r="E32" s="21" t="s">
        <v>26</v>
      </c>
      <c r="F32" s="23">
        <v>8.0</v>
      </c>
      <c r="G32" s="24">
        <v>46280.0</v>
      </c>
      <c r="H32" s="24">
        <v>46280.0</v>
      </c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8">
        <v>8.0</v>
      </c>
      <c r="AE32" s="26"/>
      <c r="AF32" s="26"/>
      <c r="AG32" s="26"/>
      <c r="AH32" s="26"/>
      <c r="AI32" s="26"/>
      <c r="AJ32" s="26"/>
      <c r="AK32" s="26"/>
      <c r="AL32" s="26"/>
      <c r="AM32" s="26"/>
      <c r="AN32" s="26"/>
      <c r="AO32" s="26"/>
      <c r="AP32" s="26"/>
      <c r="AQ32" s="26"/>
      <c r="AR32" s="26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</row>
    <row r="33" ht="30.0" customHeight="1">
      <c r="A33" s="27" t="s">
        <v>113</v>
      </c>
      <c r="B33" s="20" t="s">
        <v>114</v>
      </c>
      <c r="C33" s="21" t="s">
        <v>110</v>
      </c>
      <c r="D33" s="21" t="s">
        <v>63</v>
      </c>
      <c r="E33" s="21" t="s">
        <v>26</v>
      </c>
      <c r="F33" s="23">
        <v>8.0</v>
      </c>
      <c r="G33" s="24">
        <v>46281.0</v>
      </c>
      <c r="H33" s="24">
        <v>46281.0</v>
      </c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8">
        <v>8.0</v>
      </c>
      <c r="AF33" s="26"/>
      <c r="AG33" s="26"/>
      <c r="AH33" s="26"/>
      <c r="AI33" s="26"/>
      <c r="AJ33" s="26"/>
      <c r="AK33" s="26"/>
      <c r="AL33" s="26"/>
      <c r="AM33" s="26"/>
      <c r="AN33" s="26"/>
      <c r="AO33" s="26"/>
      <c r="AP33" s="26"/>
      <c r="AQ33" s="26"/>
      <c r="AR33" s="26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</row>
    <row r="34" ht="18.0" customHeight="1">
      <c r="A34" s="27" t="s">
        <v>115</v>
      </c>
      <c r="B34" s="20" t="s">
        <v>116</v>
      </c>
      <c r="C34" s="21" t="s">
        <v>110</v>
      </c>
      <c r="D34" s="21" t="s">
        <v>77</v>
      </c>
      <c r="E34" s="21" t="s">
        <v>28</v>
      </c>
      <c r="F34" s="23">
        <v>8.0</v>
      </c>
      <c r="G34" s="24">
        <v>46279.0</v>
      </c>
      <c r="H34" s="24">
        <v>46279.0</v>
      </c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8">
        <v>8.0</v>
      </c>
      <c r="AD34" s="26"/>
      <c r="AE34" s="26"/>
      <c r="AF34" s="26"/>
      <c r="AG34" s="26"/>
      <c r="AH34" s="26"/>
      <c r="AI34" s="26"/>
      <c r="AJ34" s="26"/>
      <c r="AK34" s="26"/>
      <c r="AL34" s="26"/>
      <c r="AM34" s="26"/>
      <c r="AN34" s="26"/>
      <c r="AO34" s="26"/>
      <c r="AP34" s="26"/>
      <c r="AQ34" s="26"/>
      <c r="AR34" s="26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</row>
    <row r="35" ht="30.0" customHeight="1">
      <c r="A35" s="27" t="s">
        <v>117</v>
      </c>
      <c r="B35" s="20" t="s">
        <v>118</v>
      </c>
      <c r="C35" s="21" t="s">
        <v>110</v>
      </c>
      <c r="D35" s="21" t="s">
        <v>77</v>
      </c>
      <c r="E35" s="21" t="s">
        <v>28</v>
      </c>
      <c r="F35" s="23">
        <v>7.0</v>
      </c>
      <c r="G35" s="24">
        <v>46280.0</v>
      </c>
      <c r="H35" s="24">
        <v>46280.0</v>
      </c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8">
        <v>7.0</v>
      </c>
      <c r="AE35" s="26"/>
      <c r="AF35" s="26"/>
      <c r="AG35" s="26"/>
      <c r="AH35" s="26"/>
      <c r="AI35" s="26"/>
      <c r="AJ35" s="26"/>
      <c r="AK35" s="26"/>
      <c r="AL35" s="26"/>
      <c r="AM35" s="26"/>
      <c r="AN35" s="26"/>
      <c r="AO35" s="26"/>
      <c r="AP35" s="26"/>
      <c r="AQ35" s="26"/>
      <c r="AR35" s="26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</row>
    <row r="36" ht="18.0" customHeight="1">
      <c r="A36" s="27" t="s">
        <v>119</v>
      </c>
      <c r="B36" s="20" t="s">
        <v>120</v>
      </c>
      <c r="C36" s="21" t="s">
        <v>110</v>
      </c>
      <c r="D36" s="21" t="s">
        <v>77</v>
      </c>
      <c r="E36" s="21" t="s">
        <v>28</v>
      </c>
      <c r="F36" s="23">
        <v>5.0</v>
      </c>
      <c r="G36" s="24">
        <v>46280.0</v>
      </c>
      <c r="H36" s="24">
        <v>46281.0</v>
      </c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8">
        <v>1.0</v>
      </c>
      <c r="AE36" s="28">
        <v>4.0</v>
      </c>
      <c r="AF36" s="26"/>
      <c r="AG36" s="26"/>
      <c r="AH36" s="26"/>
      <c r="AI36" s="26"/>
      <c r="AJ36" s="26"/>
      <c r="AK36" s="26"/>
      <c r="AL36" s="26"/>
      <c r="AM36" s="26"/>
      <c r="AN36" s="26"/>
      <c r="AO36" s="26"/>
      <c r="AP36" s="26"/>
      <c r="AQ36" s="26"/>
      <c r="AR36" s="26"/>
      <c r="AS36" s="26"/>
      <c r="AT36" s="26"/>
      <c r="AU36" s="26"/>
      <c r="AV36" s="26"/>
      <c r="AW36" s="26"/>
      <c r="AX36" s="26"/>
      <c r="AY36" s="26"/>
      <c r="AZ36" s="26"/>
      <c r="BA36" s="26"/>
      <c r="BB36" s="26"/>
      <c r="BC36" s="26"/>
      <c r="BD36" s="26"/>
      <c r="BE36" s="26"/>
      <c r="BF36" s="26"/>
      <c r="BG36" s="26"/>
      <c r="BH36" s="26"/>
      <c r="BI36" s="26"/>
      <c r="BJ36" s="26"/>
      <c r="BK36" s="26"/>
      <c r="BL36" s="26"/>
      <c r="BM36" s="26"/>
      <c r="BN36" s="26"/>
      <c r="BO36" s="26"/>
      <c r="BP36" s="26"/>
      <c r="BQ36" s="26"/>
      <c r="BR36" s="26"/>
      <c r="BS36" s="26"/>
      <c r="BT36" s="26"/>
      <c r="BU36" s="26"/>
      <c r="BV36" s="26"/>
      <c r="BW36" s="26"/>
    </row>
    <row r="37" ht="18.0" customHeight="1">
      <c r="A37" s="32" t="s">
        <v>121</v>
      </c>
      <c r="B37" s="20" t="s">
        <v>122</v>
      </c>
      <c r="C37" s="21" t="s">
        <v>110</v>
      </c>
      <c r="D37" s="21" t="s">
        <v>63</v>
      </c>
      <c r="E37" s="21" t="s">
        <v>26</v>
      </c>
      <c r="F37" s="23">
        <v>5.0</v>
      </c>
      <c r="G37" s="24">
        <v>46282.0</v>
      </c>
      <c r="H37" s="24">
        <v>46282.0</v>
      </c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33">
        <v>5.0</v>
      </c>
      <c r="AG37" s="26"/>
      <c r="AH37" s="26"/>
      <c r="AI37" s="26"/>
      <c r="AJ37" s="26"/>
      <c r="AK37" s="26"/>
      <c r="AL37" s="26"/>
      <c r="AM37" s="26"/>
      <c r="AN37" s="26"/>
      <c r="AO37" s="26"/>
      <c r="AP37" s="26"/>
      <c r="AQ37" s="26"/>
      <c r="AR37" s="26"/>
      <c r="AS37" s="26"/>
      <c r="AT37" s="26"/>
      <c r="AU37" s="26"/>
      <c r="AV37" s="26"/>
      <c r="AW37" s="26"/>
      <c r="AX37" s="26"/>
      <c r="AY37" s="26"/>
      <c r="AZ37" s="26"/>
      <c r="BA37" s="26"/>
      <c r="BB37" s="26"/>
      <c r="BC37" s="26"/>
      <c r="BD37" s="26"/>
      <c r="BE37" s="26"/>
      <c r="BF37" s="26"/>
      <c r="BG37" s="26"/>
      <c r="BH37" s="26"/>
      <c r="BI37" s="26"/>
      <c r="BJ37" s="26"/>
      <c r="BK37" s="26"/>
      <c r="BL37" s="26"/>
      <c r="BM37" s="26"/>
      <c r="BN37" s="26"/>
      <c r="BO37" s="26"/>
      <c r="BP37" s="26"/>
      <c r="BQ37" s="26"/>
      <c r="BR37" s="26"/>
      <c r="BS37" s="26"/>
      <c r="BT37" s="26"/>
      <c r="BU37" s="26"/>
      <c r="BV37" s="26"/>
      <c r="BW37" s="26"/>
    </row>
    <row r="38" ht="18.0" customHeight="1">
      <c r="A38" s="32" t="s">
        <v>123</v>
      </c>
      <c r="B38" s="20" t="s">
        <v>124</v>
      </c>
      <c r="C38" s="21" t="s">
        <v>110</v>
      </c>
      <c r="D38" s="21" t="s">
        <v>77</v>
      </c>
      <c r="E38" s="21" t="s">
        <v>28</v>
      </c>
      <c r="F38" s="23">
        <v>5.0</v>
      </c>
      <c r="G38" s="24">
        <v>46281.0</v>
      </c>
      <c r="H38" s="24">
        <v>46282.0</v>
      </c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33">
        <v>4.0</v>
      </c>
      <c r="AF38" s="33">
        <v>1.0</v>
      </c>
      <c r="AG38" s="26"/>
      <c r="AH38" s="26"/>
      <c r="AI38" s="26"/>
      <c r="AJ38" s="26"/>
      <c r="AK38" s="26"/>
      <c r="AL38" s="26"/>
      <c r="AM38" s="26"/>
      <c r="AN38" s="26"/>
      <c r="AO38" s="26"/>
      <c r="AP38" s="26"/>
      <c r="AQ38" s="26"/>
      <c r="AR38" s="26"/>
      <c r="AS38" s="26"/>
      <c r="AT38" s="26"/>
      <c r="AU38" s="26"/>
      <c r="AV38" s="26"/>
      <c r="AW38" s="26"/>
      <c r="AX38" s="26"/>
      <c r="AY38" s="26"/>
      <c r="AZ38" s="26"/>
      <c r="BA38" s="26"/>
      <c r="BB38" s="26"/>
      <c r="BC38" s="26"/>
      <c r="BD38" s="26"/>
      <c r="BE38" s="26"/>
      <c r="BF38" s="26"/>
      <c r="BG38" s="26"/>
      <c r="BH38" s="26"/>
      <c r="BI38" s="26"/>
      <c r="BJ38" s="26"/>
      <c r="BK38" s="26"/>
      <c r="BL38" s="26"/>
      <c r="BM38" s="26"/>
      <c r="BN38" s="26"/>
      <c r="BO38" s="26"/>
      <c r="BP38" s="26"/>
      <c r="BQ38" s="26"/>
      <c r="BR38" s="26"/>
      <c r="BS38" s="26"/>
      <c r="BT38" s="26"/>
      <c r="BU38" s="26"/>
      <c r="BV38" s="26"/>
      <c r="BW38" s="26"/>
    </row>
    <row r="39" ht="18.0" customHeight="1">
      <c r="A39" s="32" t="s">
        <v>125</v>
      </c>
      <c r="B39" s="20" t="s">
        <v>126</v>
      </c>
      <c r="C39" s="21" t="s">
        <v>110</v>
      </c>
      <c r="D39" s="21" t="s">
        <v>71</v>
      </c>
      <c r="E39" s="21" t="s">
        <v>72</v>
      </c>
      <c r="F39" s="23">
        <v>4.0</v>
      </c>
      <c r="G39" s="24">
        <v>46279.0</v>
      </c>
      <c r="H39" s="24">
        <v>46279.0</v>
      </c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33">
        <v>4.0</v>
      </c>
      <c r="AD39" s="26"/>
      <c r="AE39" s="26"/>
      <c r="AF39" s="26"/>
      <c r="AG39" s="26"/>
      <c r="AH39" s="26"/>
      <c r="AI39" s="26"/>
      <c r="AJ39" s="26"/>
      <c r="AK39" s="26"/>
      <c r="AL39" s="26"/>
      <c r="AM39" s="26"/>
      <c r="AN39" s="26"/>
      <c r="AO39" s="26"/>
      <c r="AP39" s="26"/>
      <c r="AQ39" s="26"/>
      <c r="AR39" s="26"/>
      <c r="AS39" s="26"/>
      <c r="AT39" s="26"/>
      <c r="AU39" s="26"/>
      <c r="AV39" s="26"/>
      <c r="AW39" s="26"/>
      <c r="AX39" s="26"/>
      <c r="AY39" s="26"/>
      <c r="AZ39" s="26"/>
      <c r="BA39" s="26"/>
      <c r="BB39" s="26"/>
      <c r="BC39" s="26"/>
      <c r="BD39" s="26"/>
      <c r="BE39" s="26"/>
      <c r="BF39" s="26"/>
      <c r="BG39" s="26"/>
      <c r="BH39" s="26"/>
      <c r="BI39" s="26"/>
      <c r="BJ39" s="26"/>
      <c r="BK39" s="26"/>
      <c r="BL39" s="26"/>
      <c r="BM39" s="26"/>
      <c r="BN39" s="26"/>
      <c r="BO39" s="26"/>
      <c r="BP39" s="26"/>
      <c r="BQ39" s="26"/>
      <c r="BR39" s="26"/>
      <c r="BS39" s="26"/>
      <c r="BT39" s="26"/>
      <c r="BU39" s="26"/>
      <c r="BV39" s="26"/>
      <c r="BW39" s="26"/>
    </row>
    <row r="40" ht="18.0" customHeight="1">
      <c r="A40" s="32" t="s">
        <v>127</v>
      </c>
      <c r="B40" s="20" t="s">
        <v>128</v>
      </c>
      <c r="C40" s="21" t="s">
        <v>110</v>
      </c>
      <c r="D40" s="21" t="s">
        <v>63</v>
      </c>
      <c r="E40" s="21" t="s">
        <v>26</v>
      </c>
      <c r="F40" s="23">
        <v>6.0</v>
      </c>
      <c r="G40" s="24">
        <v>46282.0</v>
      </c>
      <c r="H40" s="24">
        <v>46283.0</v>
      </c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33">
        <v>3.0</v>
      </c>
      <c r="AG40" s="33">
        <v>3.0</v>
      </c>
      <c r="AH40" s="26"/>
      <c r="AI40" s="26"/>
      <c r="AJ40" s="26"/>
      <c r="AK40" s="26"/>
      <c r="AL40" s="26"/>
      <c r="AM40" s="26"/>
      <c r="AN40" s="26"/>
      <c r="AO40" s="26"/>
      <c r="AP40" s="26"/>
      <c r="AQ40" s="26"/>
      <c r="AR40" s="26"/>
      <c r="AS40" s="26"/>
      <c r="AT40" s="26"/>
      <c r="AU40" s="26"/>
      <c r="AV40" s="26"/>
      <c r="AW40" s="26"/>
      <c r="AX40" s="26"/>
      <c r="AY40" s="26"/>
      <c r="AZ40" s="26"/>
      <c r="BA40" s="26"/>
      <c r="BB40" s="26"/>
      <c r="BC40" s="26"/>
      <c r="BD40" s="26"/>
      <c r="BE40" s="26"/>
      <c r="BF40" s="26"/>
      <c r="BG40" s="26"/>
      <c r="BH40" s="26"/>
      <c r="BI40" s="26"/>
      <c r="BJ40" s="26"/>
      <c r="BK40" s="26"/>
      <c r="BL40" s="26"/>
      <c r="BM40" s="26"/>
      <c r="BN40" s="26"/>
      <c r="BO40" s="26"/>
      <c r="BP40" s="26"/>
      <c r="BQ40" s="26"/>
      <c r="BR40" s="26"/>
      <c r="BS40" s="26"/>
      <c r="BT40" s="26"/>
      <c r="BU40" s="26"/>
      <c r="BV40" s="26"/>
      <c r="BW40" s="26"/>
    </row>
    <row r="41" ht="18.0" customHeight="1">
      <c r="A41" s="32" t="s">
        <v>129</v>
      </c>
      <c r="B41" s="20" t="s">
        <v>130</v>
      </c>
      <c r="C41" s="21" t="s">
        <v>110</v>
      </c>
      <c r="D41" s="21" t="s">
        <v>77</v>
      </c>
      <c r="E41" s="21" t="s">
        <v>28</v>
      </c>
      <c r="F41" s="23">
        <v>5.0</v>
      </c>
      <c r="G41" s="24">
        <v>46282.0</v>
      </c>
      <c r="H41" s="24">
        <v>46282.0</v>
      </c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33">
        <v>5.0</v>
      </c>
      <c r="AG41" s="26"/>
      <c r="AH41" s="26"/>
      <c r="AI41" s="26"/>
      <c r="AJ41" s="26"/>
      <c r="AK41" s="26"/>
      <c r="AL41" s="26"/>
      <c r="AM41" s="26"/>
      <c r="AN41" s="26"/>
      <c r="AO41" s="26"/>
      <c r="AP41" s="26"/>
      <c r="AQ41" s="26"/>
      <c r="AR41" s="26"/>
      <c r="AS41" s="26"/>
      <c r="AT41" s="26"/>
      <c r="AU41" s="26"/>
      <c r="AV41" s="26"/>
      <c r="AW41" s="26"/>
      <c r="AX41" s="26"/>
      <c r="AY41" s="26"/>
      <c r="AZ41" s="26"/>
      <c r="BA41" s="26"/>
      <c r="BB41" s="26"/>
      <c r="BC41" s="26"/>
      <c r="BD41" s="26"/>
      <c r="BE41" s="26"/>
      <c r="BF41" s="26"/>
      <c r="BG41" s="26"/>
      <c r="BH41" s="26"/>
      <c r="BI41" s="26"/>
      <c r="BJ41" s="26"/>
      <c r="BK41" s="26"/>
      <c r="BL41" s="26"/>
      <c r="BM41" s="26"/>
      <c r="BN41" s="26"/>
      <c r="BO41" s="26"/>
      <c r="BP41" s="26"/>
      <c r="BQ41" s="26"/>
      <c r="BR41" s="26"/>
      <c r="BS41" s="26"/>
      <c r="BT41" s="26"/>
      <c r="BU41" s="26"/>
      <c r="BV41" s="26"/>
      <c r="BW41" s="26"/>
    </row>
    <row r="42" ht="18.0" customHeight="1">
      <c r="A42" s="32" t="s">
        <v>131</v>
      </c>
      <c r="B42" s="20" t="s">
        <v>132</v>
      </c>
      <c r="C42" s="21" t="s">
        <v>110</v>
      </c>
      <c r="D42" s="21" t="s">
        <v>63</v>
      </c>
      <c r="E42" s="21" t="s">
        <v>26</v>
      </c>
      <c r="F42" s="23">
        <v>4.0</v>
      </c>
      <c r="G42" s="24">
        <v>46283.0</v>
      </c>
      <c r="H42" s="24">
        <v>46283.0</v>
      </c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33">
        <v>4.0</v>
      </c>
      <c r="AH42" s="26"/>
      <c r="AI42" s="26"/>
      <c r="AJ42" s="26"/>
      <c r="AK42" s="26"/>
      <c r="AL42" s="26"/>
      <c r="AM42" s="26"/>
      <c r="AN42" s="26"/>
      <c r="AO42" s="26"/>
      <c r="AP42" s="26"/>
      <c r="AQ42" s="26"/>
      <c r="AR42" s="26"/>
      <c r="AS42" s="26"/>
      <c r="AT42" s="26"/>
      <c r="AU42" s="26"/>
      <c r="AV42" s="26"/>
      <c r="AW42" s="26"/>
      <c r="AX42" s="26"/>
      <c r="AY42" s="26"/>
      <c r="AZ42" s="26"/>
      <c r="BA42" s="26"/>
      <c r="BB42" s="26"/>
      <c r="BC42" s="26"/>
      <c r="BD42" s="26"/>
      <c r="BE42" s="26"/>
      <c r="BF42" s="26"/>
      <c r="BG42" s="26"/>
      <c r="BH42" s="26"/>
      <c r="BI42" s="26"/>
      <c r="BJ42" s="26"/>
      <c r="BK42" s="26"/>
      <c r="BL42" s="26"/>
      <c r="BM42" s="26"/>
      <c r="BN42" s="26"/>
      <c r="BO42" s="26"/>
      <c r="BP42" s="26"/>
      <c r="BQ42" s="26"/>
      <c r="BR42" s="26"/>
      <c r="BS42" s="26"/>
      <c r="BT42" s="26"/>
      <c r="BU42" s="26"/>
      <c r="BV42" s="26"/>
      <c r="BW42" s="26"/>
    </row>
    <row r="43" ht="18.0" customHeight="1">
      <c r="A43" s="32" t="s">
        <v>133</v>
      </c>
      <c r="B43" s="20" t="s">
        <v>134</v>
      </c>
      <c r="C43" s="21" t="s">
        <v>110</v>
      </c>
      <c r="D43" s="21" t="s">
        <v>71</v>
      </c>
      <c r="E43" s="21" t="s">
        <v>72</v>
      </c>
      <c r="F43" s="23">
        <v>4.0</v>
      </c>
      <c r="G43" s="24">
        <v>46279.0</v>
      </c>
      <c r="H43" s="24">
        <v>46279.0</v>
      </c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33">
        <v>4.0</v>
      </c>
      <c r="AD43" s="26"/>
      <c r="AE43" s="26"/>
      <c r="AF43" s="26"/>
      <c r="AG43" s="26"/>
      <c r="AH43" s="26"/>
      <c r="AI43" s="26"/>
      <c r="AJ43" s="26"/>
      <c r="AK43" s="26"/>
      <c r="AL43" s="26"/>
      <c r="AM43" s="26"/>
      <c r="AN43" s="26"/>
      <c r="AO43" s="26"/>
      <c r="AP43" s="26"/>
      <c r="AQ43" s="26"/>
      <c r="AR43" s="26"/>
      <c r="AS43" s="26"/>
      <c r="AT43" s="26"/>
      <c r="AU43" s="26"/>
      <c r="AV43" s="26"/>
      <c r="AW43" s="26"/>
      <c r="AX43" s="26"/>
      <c r="AY43" s="26"/>
      <c r="AZ43" s="26"/>
      <c r="BA43" s="26"/>
      <c r="BB43" s="26"/>
      <c r="BC43" s="26"/>
      <c r="BD43" s="26"/>
      <c r="BE43" s="26"/>
      <c r="BF43" s="26"/>
      <c r="BG43" s="26"/>
      <c r="BH43" s="26"/>
      <c r="BI43" s="26"/>
      <c r="BJ43" s="26"/>
      <c r="BK43" s="26"/>
      <c r="BL43" s="26"/>
      <c r="BM43" s="26"/>
      <c r="BN43" s="26"/>
      <c r="BO43" s="26"/>
      <c r="BP43" s="26"/>
      <c r="BQ43" s="26"/>
      <c r="BR43" s="26"/>
      <c r="BS43" s="26"/>
      <c r="BT43" s="26"/>
      <c r="BU43" s="26"/>
      <c r="BV43" s="26"/>
      <c r="BW43" s="26"/>
    </row>
    <row r="44" ht="18.0" customHeight="1">
      <c r="A44" s="34" t="s">
        <v>135</v>
      </c>
      <c r="B44" s="20" t="s">
        <v>136</v>
      </c>
      <c r="C44" s="21" t="s">
        <v>137</v>
      </c>
      <c r="D44" s="21" t="s">
        <v>77</v>
      </c>
      <c r="E44" s="21" t="s">
        <v>28</v>
      </c>
      <c r="F44" s="23">
        <v>5.0</v>
      </c>
      <c r="G44" s="24">
        <v>46293.0</v>
      </c>
      <c r="H44" s="24">
        <v>46293.0</v>
      </c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  <c r="AM44" s="35">
        <v>5.0</v>
      </c>
      <c r="AN44" s="26"/>
      <c r="AO44" s="26"/>
      <c r="AP44" s="26"/>
      <c r="AQ44" s="26"/>
      <c r="AR44" s="26"/>
      <c r="AS44" s="26"/>
      <c r="AT44" s="26"/>
      <c r="AU44" s="26"/>
      <c r="AV44" s="26"/>
      <c r="AW44" s="26"/>
      <c r="AX44" s="26"/>
      <c r="AY44" s="26"/>
      <c r="AZ44" s="26"/>
      <c r="BA44" s="26"/>
      <c r="BB44" s="26"/>
      <c r="BC44" s="26"/>
      <c r="BD44" s="26"/>
      <c r="BE44" s="26"/>
      <c r="BF44" s="26"/>
      <c r="BG44" s="26"/>
      <c r="BH44" s="26"/>
      <c r="BI44" s="26"/>
      <c r="BJ44" s="26"/>
      <c r="BK44" s="26"/>
      <c r="BL44" s="26"/>
      <c r="BM44" s="26"/>
      <c r="BN44" s="26"/>
      <c r="BO44" s="26"/>
      <c r="BP44" s="26"/>
      <c r="BQ44" s="26"/>
      <c r="BR44" s="26"/>
      <c r="BS44" s="26"/>
      <c r="BT44" s="26"/>
      <c r="BU44" s="26"/>
      <c r="BV44" s="26"/>
      <c r="BW44" s="26"/>
    </row>
    <row r="45" ht="18.0" customHeight="1">
      <c r="A45" s="34" t="s">
        <v>138</v>
      </c>
      <c r="B45" s="20" t="s">
        <v>139</v>
      </c>
      <c r="C45" s="21" t="s">
        <v>137</v>
      </c>
      <c r="D45" s="21" t="s">
        <v>63</v>
      </c>
      <c r="E45" s="21" t="s">
        <v>26</v>
      </c>
      <c r="F45" s="23">
        <v>5.0</v>
      </c>
      <c r="G45" s="24">
        <v>46293.0</v>
      </c>
      <c r="H45" s="24">
        <v>46293.0</v>
      </c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  <c r="AM45" s="35">
        <v>5.0</v>
      </c>
      <c r="AN45" s="26"/>
      <c r="AO45" s="26"/>
      <c r="AP45" s="26"/>
      <c r="AQ45" s="26"/>
      <c r="AR45" s="26"/>
      <c r="AS45" s="26"/>
      <c r="AT45" s="26"/>
      <c r="AU45" s="26"/>
      <c r="AV45" s="26"/>
      <c r="AW45" s="26"/>
      <c r="AX45" s="26"/>
      <c r="AY45" s="26"/>
      <c r="AZ45" s="26"/>
      <c r="BA45" s="26"/>
      <c r="BB45" s="26"/>
      <c r="BC45" s="26"/>
      <c r="BD45" s="26"/>
      <c r="BE45" s="26"/>
      <c r="BF45" s="26"/>
      <c r="BG45" s="26"/>
      <c r="BH45" s="26"/>
      <c r="BI45" s="26"/>
      <c r="BJ45" s="26"/>
      <c r="BK45" s="26"/>
      <c r="BL45" s="26"/>
      <c r="BM45" s="26"/>
      <c r="BN45" s="26"/>
      <c r="BO45" s="26"/>
      <c r="BP45" s="26"/>
      <c r="BQ45" s="26"/>
      <c r="BR45" s="26"/>
      <c r="BS45" s="26"/>
      <c r="BT45" s="26"/>
      <c r="BU45" s="26"/>
      <c r="BV45" s="26"/>
      <c r="BW45" s="26"/>
    </row>
    <row r="46" ht="18.0" customHeight="1">
      <c r="A46" s="34" t="s">
        <v>140</v>
      </c>
      <c r="B46" s="20" t="s">
        <v>141</v>
      </c>
      <c r="C46" s="21" t="s">
        <v>137</v>
      </c>
      <c r="D46" s="21" t="s">
        <v>63</v>
      </c>
      <c r="E46" s="21" t="s">
        <v>26</v>
      </c>
      <c r="F46" s="23">
        <v>7.0</v>
      </c>
      <c r="G46" s="24">
        <v>46293.0</v>
      </c>
      <c r="H46" s="24">
        <v>46294.0</v>
      </c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  <c r="AM46" s="35">
        <v>3.0</v>
      </c>
      <c r="AN46" s="35">
        <v>4.0</v>
      </c>
      <c r="AO46" s="26"/>
      <c r="AP46" s="26"/>
      <c r="AQ46" s="26"/>
      <c r="AR46" s="26"/>
      <c r="AS46" s="26"/>
      <c r="AT46" s="26"/>
      <c r="AU46" s="26"/>
      <c r="AV46" s="26"/>
      <c r="AW46" s="26"/>
      <c r="AX46" s="26"/>
      <c r="AY46" s="26"/>
      <c r="AZ46" s="26"/>
      <c r="BA46" s="26"/>
      <c r="BB46" s="26"/>
      <c r="BC46" s="26"/>
      <c r="BD46" s="26"/>
      <c r="BE46" s="26"/>
      <c r="BF46" s="26"/>
      <c r="BG46" s="26"/>
      <c r="BH46" s="26"/>
      <c r="BI46" s="26"/>
      <c r="BJ46" s="26"/>
      <c r="BK46" s="26"/>
      <c r="BL46" s="26"/>
      <c r="BM46" s="26"/>
      <c r="BN46" s="26"/>
      <c r="BO46" s="26"/>
      <c r="BP46" s="26"/>
      <c r="BQ46" s="26"/>
      <c r="BR46" s="26"/>
      <c r="BS46" s="26"/>
      <c r="BT46" s="26"/>
      <c r="BU46" s="26"/>
      <c r="BV46" s="26"/>
      <c r="BW46" s="26"/>
    </row>
    <row r="47" ht="18.0" customHeight="1">
      <c r="A47" s="34" t="s">
        <v>142</v>
      </c>
      <c r="B47" s="20" t="s">
        <v>143</v>
      </c>
      <c r="C47" s="21" t="s">
        <v>137</v>
      </c>
      <c r="D47" s="21" t="s">
        <v>71</v>
      </c>
      <c r="E47" s="21" t="s">
        <v>72</v>
      </c>
      <c r="F47" s="23">
        <v>4.0</v>
      </c>
      <c r="G47" s="24">
        <v>46293.0</v>
      </c>
      <c r="H47" s="24">
        <v>46293.0</v>
      </c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  <c r="AM47" s="35">
        <v>4.0</v>
      </c>
      <c r="AN47" s="26"/>
      <c r="AO47" s="26"/>
      <c r="AP47" s="26"/>
      <c r="AQ47" s="26"/>
      <c r="AR47" s="26"/>
      <c r="AS47" s="26"/>
      <c r="AT47" s="26"/>
      <c r="AU47" s="26"/>
      <c r="AV47" s="26"/>
      <c r="AW47" s="26"/>
      <c r="AX47" s="26"/>
      <c r="AY47" s="26"/>
      <c r="AZ47" s="26"/>
      <c r="BA47" s="26"/>
      <c r="BB47" s="26"/>
      <c r="BC47" s="26"/>
      <c r="BD47" s="26"/>
      <c r="BE47" s="26"/>
      <c r="BF47" s="26"/>
      <c r="BG47" s="26"/>
      <c r="BH47" s="26"/>
      <c r="BI47" s="26"/>
      <c r="BJ47" s="26"/>
      <c r="BK47" s="26"/>
      <c r="BL47" s="26"/>
      <c r="BM47" s="26"/>
      <c r="BN47" s="26"/>
      <c r="BO47" s="26"/>
      <c r="BP47" s="26"/>
      <c r="BQ47" s="26"/>
      <c r="BR47" s="26"/>
      <c r="BS47" s="26"/>
      <c r="BT47" s="26"/>
      <c r="BU47" s="26"/>
      <c r="BV47" s="26"/>
      <c r="BW47" s="26"/>
    </row>
    <row r="48" ht="18.0" customHeight="1">
      <c r="A48" s="34" t="s">
        <v>144</v>
      </c>
      <c r="B48" s="20" t="s">
        <v>145</v>
      </c>
      <c r="C48" s="21" t="s">
        <v>137</v>
      </c>
      <c r="D48" s="21" t="s">
        <v>77</v>
      </c>
      <c r="E48" s="21" t="s">
        <v>28</v>
      </c>
      <c r="F48" s="23">
        <v>4.0</v>
      </c>
      <c r="G48" s="24">
        <v>46293.0</v>
      </c>
      <c r="H48" s="24">
        <v>46294.0</v>
      </c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  <c r="AM48" s="35">
        <v>3.0</v>
      </c>
      <c r="AN48" s="35">
        <v>1.0</v>
      </c>
      <c r="AO48" s="26"/>
      <c r="AP48" s="26"/>
      <c r="AQ48" s="26"/>
      <c r="AR48" s="26"/>
      <c r="AS48" s="26"/>
      <c r="AT48" s="26"/>
      <c r="AU48" s="26"/>
      <c r="AV48" s="26"/>
      <c r="AW48" s="26"/>
      <c r="AX48" s="26"/>
      <c r="AY48" s="26"/>
      <c r="AZ48" s="26"/>
      <c r="BA48" s="26"/>
      <c r="BB48" s="26"/>
      <c r="BC48" s="26"/>
      <c r="BD48" s="26"/>
      <c r="BE48" s="26"/>
      <c r="BF48" s="26"/>
      <c r="BG48" s="26"/>
      <c r="BH48" s="26"/>
      <c r="BI48" s="26"/>
      <c r="BJ48" s="26"/>
      <c r="BK48" s="26"/>
      <c r="BL48" s="26"/>
      <c r="BM48" s="26"/>
      <c r="BN48" s="26"/>
      <c r="BO48" s="26"/>
      <c r="BP48" s="26"/>
      <c r="BQ48" s="26"/>
      <c r="BR48" s="26"/>
      <c r="BS48" s="26"/>
      <c r="BT48" s="26"/>
      <c r="BU48" s="26"/>
      <c r="BV48" s="26"/>
      <c r="BW48" s="26"/>
    </row>
    <row r="49" ht="30.0" customHeight="1">
      <c r="A49" s="34" t="s">
        <v>146</v>
      </c>
      <c r="B49" s="20" t="s">
        <v>147</v>
      </c>
      <c r="C49" s="21" t="s">
        <v>137</v>
      </c>
      <c r="D49" s="21" t="s">
        <v>63</v>
      </c>
      <c r="E49" s="21" t="s">
        <v>26</v>
      </c>
      <c r="F49" s="23">
        <v>4.0</v>
      </c>
      <c r="G49" s="24">
        <v>46294.0</v>
      </c>
      <c r="H49" s="24">
        <v>46294.0</v>
      </c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  <c r="AM49" s="26"/>
      <c r="AN49" s="35">
        <v>4.0</v>
      </c>
      <c r="AO49" s="26"/>
      <c r="AP49" s="26"/>
      <c r="AQ49" s="26"/>
      <c r="AR49" s="26"/>
      <c r="AS49" s="26"/>
      <c r="AT49" s="26"/>
      <c r="AU49" s="26"/>
      <c r="AV49" s="26"/>
      <c r="AW49" s="26"/>
      <c r="AX49" s="26"/>
      <c r="AY49" s="26"/>
      <c r="AZ49" s="26"/>
      <c r="BA49" s="26"/>
      <c r="BB49" s="26"/>
      <c r="BC49" s="26"/>
      <c r="BD49" s="26"/>
      <c r="BE49" s="26"/>
      <c r="BF49" s="26"/>
      <c r="BG49" s="26"/>
      <c r="BH49" s="26"/>
      <c r="BI49" s="26"/>
      <c r="BJ49" s="26"/>
      <c r="BK49" s="26"/>
      <c r="BL49" s="26"/>
      <c r="BM49" s="26"/>
      <c r="BN49" s="26"/>
      <c r="BO49" s="26"/>
      <c r="BP49" s="26"/>
      <c r="BQ49" s="26"/>
      <c r="BR49" s="26"/>
      <c r="BS49" s="26"/>
      <c r="BT49" s="26"/>
      <c r="BU49" s="26"/>
      <c r="BV49" s="26"/>
      <c r="BW49" s="26"/>
    </row>
    <row r="50" ht="30.0" customHeight="1">
      <c r="A50" s="34" t="s">
        <v>148</v>
      </c>
      <c r="B50" s="20" t="s">
        <v>149</v>
      </c>
      <c r="C50" s="21" t="s">
        <v>137</v>
      </c>
      <c r="D50" s="21" t="s">
        <v>63</v>
      </c>
      <c r="E50" s="21" t="s">
        <v>26</v>
      </c>
      <c r="F50" s="23">
        <v>4.0</v>
      </c>
      <c r="G50" s="24">
        <v>46295.0</v>
      </c>
      <c r="H50" s="24">
        <v>46295.0</v>
      </c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  <c r="AM50" s="26"/>
      <c r="AN50" s="26"/>
      <c r="AO50" s="35">
        <v>4.0</v>
      </c>
      <c r="AP50" s="26"/>
      <c r="AQ50" s="26"/>
      <c r="AR50" s="26"/>
      <c r="AS50" s="26"/>
      <c r="AT50" s="26"/>
      <c r="AU50" s="26"/>
      <c r="AV50" s="26"/>
      <c r="AW50" s="26"/>
      <c r="AX50" s="26"/>
      <c r="AY50" s="26"/>
      <c r="AZ50" s="26"/>
      <c r="BA50" s="26"/>
      <c r="BB50" s="26"/>
      <c r="BC50" s="26"/>
      <c r="BD50" s="26"/>
      <c r="BE50" s="26"/>
      <c r="BF50" s="26"/>
      <c r="BG50" s="26"/>
      <c r="BH50" s="26"/>
      <c r="BI50" s="26"/>
      <c r="BJ50" s="26"/>
      <c r="BK50" s="26"/>
      <c r="BL50" s="26"/>
      <c r="BM50" s="26"/>
      <c r="BN50" s="26"/>
      <c r="BO50" s="26"/>
      <c r="BP50" s="26"/>
      <c r="BQ50" s="26"/>
      <c r="BR50" s="26"/>
      <c r="BS50" s="26"/>
      <c r="BT50" s="26"/>
      <c r="BU50" s="26"/>
      <c r="BV50" s="26"/>
      <c r="BW50" s="26"/>
    </row>
    <row r="51" ht="18.0" customHeight="1">
      <c r="A51" s="34" t="s">
        <v>150</v>
      </c>
      <c r="B51" s="20" t="s">
        <v>151</v>
      </c>
      <c r="C51" s="21" t="s">
        <v>137</v>
      </c>
      <c r="D51" s="21" t="s">
        <v>77</v>
      </c>
      <c r="E51" s="21" t="s">
        <v>28</v>
      </c>
      <c r="F51" s="23">
        <v>3.0</v>
      </c>
      <c r="G51" s="24">
        <v>46294.0</v>
      </c>
      <c r="H51" s="24">
        <v>46294.0</v>
      </c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  <c r="AM51" s="26"/>
      <c r="AN51" s="35">
        <v>3.0</v>
      </c>
      <c r="AO51" s="26"/>
      <c r="AP51" s="26"/>
      <c r="AQ51" s="26"/>
      <c r="AR51" s="26"/>
      <c r="AS51" s="26"/>
      <c r="AT51" s="26"/>
      <c r="AU51" s="26"/>
      <c r="AV51" s="26"/>
      <c r="AW51" s="26"/>
      <c r="AX51" s="26"/>
      <c r="AY51" s="26"/>
      <c r="AZ51" s="26"/>
      <c r="BA51" s="26"/>
      <c r="BB51" s="26"/>
      <c r="BC51" s="26"/>
      <c r="BD51" s="26"/>
      <c r="BE51" s="26"/>
      <c r="BF51" s="26"/>
      <c r="BG51" s="26"/>
      <c r="BH51" s="26"/>
      <c r="BI51" s="26"/>
      <c r="BJ51" s="26"/>
      <c r="BK51" s="26"/>
      <c r="BL51" s="26"/>
      <c r="BM51" s="26"/>
      <c r="BN51" s="26"/>
      <c r="BO51" s="26"/>
      <c r="BP51" s="26"/>
      <c r="BQ51" s="26"/>
      <c r="BR51" s="26"/>
      <c r="BS51" s="26"/>
      <c r="BT51" s="26"/>
      <c r="BU51" s="26"/>
      <c r="BV51" s="26"/>
      <c r="BW51" s="26"/>
    </row>
    <row r="52" ht="18.0" customHeight="1">
      <c r="A52" s="34" t="s">
        <v>152</v>
      </c>
      <c r="B52" s="20" t="s">
        <v>153</v>
      </c>
      <c r="C52" s="21" t="s">
        <v>137</v>
      </c>
      <c r="D52" s="21" t="s">
        <v>63</v>
      </c>
      <c r="E52" s="21" t="s">
        <v>26</v>
      </c>
      <c r="F52" s="23">
        <v>4.0</v>
      </c>
      <c r="G52" s="24">
        <v>46295.0</v>
      </c>
      <c r="H52" s="24">
        <v>46295.0</v>
      </c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  <c r="AM52" s="26"/>
      <c r="AN52" s="26"/>
      <c r="AO52" s="35">
        <v>4.0</v>
      </c>
      <c r="AP52" s="26"/>
      <c r="AQ52" s="26"/>
      <c r="AR52" s="26"/>
      <c r="AS52" s="26"/>
      <c r="AT52" s="26"/>
      <c r="AU52" s="26"/>
      <c r="AV52" s="26"/>
      <c r="AW52" s="26"/>
      <c r="AX52" s="26"/>
      <c r="AY52" s="26"/>
      <c r="AZ52" s="26"/>
      <c r="BA52" s="26"/>
      <c r="BB52" s="26"/>
      <c r="BC52" s="26"/>
      <c r="BD52" s="26"/>
      <c r="BE52" s="26"/>
      <c r="BF52" s="26"/>
      <c r="BG52" s="26"/>
      <c r="BH52" s="26"/>
      <c r="BI52" s="26"/>
      <c r="BJ52" s="26"/>
      <c r="BK52" s="26"/>
      <c r="BL52" s="26"/>
      <c r="BM52" s="26"/>
      <c r="BN52" s="26"/>
      <c r="BO52" s="26"/>
      <c r="BP52" s="26"/>
      <c r="BQ52" s="26"/>
      <c r="BR52" s="26"/>
      <c r="BS52" s="26"/>
      <c r="BT52" s="26"/>
      <c r="BU52" s="26"/>
      <c r="BV52" s="26"/>
      <c r="BW52" s="26"/>
    </row>
    <row r="53" ht="18.0" customHeight="1">
      <c r="A53" s="34" t="s">
        <v>154</v>
      </c>
      <c r="B53" s="20" t="s">
        <v>155</v>
      </c>
      <c r="C53" s="21" t="s">
        <v>137</v>
      </c>
      <c r="D53" s="21" t="s">
        <v>63</v>
      </c>
      <c r="E53" s="21" t="s">
        <v>26</v>
      </c>
      <c r="F53" s="23">
        <v>5.0</v>
      </c>
      <c r="G53" s="24">
        <v>46296.0</v>
      </c>
      <c r="H53" s="24">
        <v>46296.0</v>
      </c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  <c r="AM53" s="26"/>
      <c r="AN53" s="26"/>
      <c r="AO53" s="26"/>
      <c r="AP53" s="35">
        <v>5.0</v>
      </c>
      <c r="AQ53" s="26"/>
      <c r="AR53" s="26"/>
      <c r="AS53" s="26"/>
      <c r="AT53" s="26"/>
      <c r="AU53" s="26"/>
      <c r="AV53" s="26"/>
      <c r="AW53" s="26"/>
      <c r="AX53" s="26"/>
      <c r="AY53" s="26"/>
      <c r="AZ53" s="26"/>
      <c r="BA53" s="26"/>
      <c r="BB53" s="26"/>
      <c r="BC53" s="26"/>
      <c r="BD53" s="26"/>
      <c r="BE53" s="26"/>
      <c r="BF53" s="26"/>
      <c r="BG53" s="26"/>
      <c r="BH53" s="26"/>
      <c r="BI53" s="26"/>
      <c r="BJ53" s="26"/>
      <c r="BK53" s="26"/>
      <c r="BL53" s="26"/>
      <c r="BM53" s="26"/>
      <c r="BN53" s="26"/>
      <c r="BO53" s="26"/>
      <c r="BP53" s="26"/>
      <c r="BQ53" s="26"/>
      <c r="BR53" s="26"/>
      <c r="BS53" s="26"/>
      <c r="BT53" s="26"/>
      <c r="BU53" s="26"/>
      <c r="BV53" s="26"/>
      <c r="BW53" s="26"/>
    </row>
    <row r="54" ht="18.0" customHeight="1">
      <c r="A54" s="34" t="s">
        <v>156</v>
      </c>
      <c r="B54" s="20" t="s">
        <v>157</v>
      </c>
      <c r="C54" s="21" t="s">
        <v>137</v>
      </c>
      <c r="D54" s="21" t="s">
        <v>71</v>
      </c>
      <c r="E54" s="21" t="s">
        <v>72</v>
      </c>
      <c r="F54" s="23">
        <v>4.0</v>
      </c>
      <c r="G54" s="24">
        <v>46293.0</v>
      </c>
      <c r="H54" s="24">
        <v>46293.0</v>
      </c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  <c r="AM54" s="35">
        <v>4.0</v>
      </c>
      <c r="AN54" s="26"/>
      <c r="AO54" s="26"/>
      <c r="AP54" s="26"/>
      <c r="AQ54" s="26"/>
      <c r="AR54" s="26"/>
      <c r="AS54" s="26"/>
      <c r="AT54" s="26"/>
      <c r="AU54" s="26"/>
      <c r="AV54" s="26"/>
      <c r="AW54" s="26"/>
      <c r="AX54" s="26"/>
      <c r="AY54" s="26"/>
      <c r="AZ54" s="26"/>
      <c r="BA54" s="26"/>
      <c r="BB54" s="26"/>
      <c r="BC54" s="26"/>
      <c r="BD54" s="26"/>
      <c r="BE54" s="26"/>
      <c r="BF54" s="26"/>
      <c r="BG54" s="26"/>
      <c r="BH54" s="26"/>
      <c r="BI54" s="26"/>
      <c r="BJ54" s="26"/>
      <c r="BK54" s="26"/>
      <c r="BL54" s="26"/>
      <c r="BM54" s="26"/>
      <c r="BN54" s="26"/>
      <c r="BO54" s="26"/>
      <c r="BP54" s="26"/>
      <c r="BQ54" s="26"/>
      <c r="BR54" s="26"/>
      <c r="BS54" s="26"/>
      <c r="BT54" s="26"/>
      <c r="BU54" s="26"/>
      <c r="BV54" s="26"/>
      <c r="BW54" s="26"/>
    </row>
    <row r="55" ht="18.0" customHeight="1">
      <c r="A55" s="34" t="s">
        <v>158</v>
      </c>
      <c r="B55" s="20" t="s">
        <v>159</v>
      </c>
      <c r="C55" s="21" t="s">
        <v>137</v>
      </c>
      <c r="D55" s="21" t="s">
        <v>63</v>
      </c>
      <c r="E55" s="21" t="s">
        <v>26</v>
      </c>
      <c r="F55" s="23">
        <v>4.0</v>
      </c>
      <c r="G55" s="24">
        <v>46296.0</v>
      </c>
      <c r="H55" s="24">
        <v>46297.0</v>
      </c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  <c r="AM55" s="26"/>
      <c r="AN55" s="26"/>
      <c r="AO55" s="26"/>
      <c r="AP55" s="35">
        <v>3.0</v>
      </c>
      <c r="AQ55" s="35">
        <v>1.0</v>
      </c>
      <c r="AR55" s="26"/>
      <c r="AS55" s="26"/>
      <c r="AT55" s="26"/>
      <c r="AU55" s="26"/>
      <c r="AV55" s="26"/>
      <c r="AW55" s="26"/>
      <c r="AX55" s="26"/>
      <c r="AY55" s="26"/>
      <c r="AZ55" s="26"/>
      <c r="BA55" s="26"/>
      <c r="BB55" s="26"/>
      <c r="BC55" s="26"/>
      <c r="BD55" s="26"/>
      <c r="BE55" s="26"/>
      <c r="BF55" s="26"/>
      <c r="BG55" s="26"/>
      <c r="BH55" s="26"/>
      <c r="BI55" s="26"/>
      <c r="BJ55" s="26"/>
      <c r="BK55" s="26"/>
      <c r="BL55" s="26"/>
      <c r="BM55" s="26"/>
      <c r="BN55" s="26"/>
      <c r="BO55" s="26"/>
      <c r="BP55" s="26"/>
      <c r="BQ55" s="26"/>
      <c r="BR55" s="26"/>
      <c r="BS55" s="26"/>
      <c r="BT55" s="26"/>
      <c r="BU55" s="26"/>
      <c r="BV55" s="26"/>
      <c r="BW55" s="26"/>
    </row>
    <row r="56" ht="18.0" customHeight="1">
      <c r="A56" s="34" t="s">
        <v>160</v>
      </c>
      <c r="B56" s="20" t="s">
        <v>161</v>
      </c>
      <c r="C56" s="21" t="s">
        <v>137</v>
      </c>
      <c r="D56" s="21" t="s">
        <v>77</v>
      </c>
      <c r="E56" s="21" t="s">
        <v>28</v>
      </c>
      <c r="F56" s="23">
        <v>4.0</v>
      </c>
      <c r="G56" s="24">
        <v>46294.0</v>
      </c>
      <c r="H56" s="24">
        <v>46294.0</v>
      </c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  <c r="AM56" s="26"/>
      <c r="AN56" s="35">
        <v>4.0</v>
      </c>
      <c r="AO56" s="26"/>
      <c r="AP56" s="26"/>
      <c r="AQ56" s="26"/>
      <c r="AR56" s="26"/>
      <c r="AS56" s="26"/>
      <c r="AT56" s="26"/>
      <c r="AU56" s="26"/>
      <c r="AV56" s="26"/>
      <c r="AW56" s="26"/>
      <c r="AX56" s="26"/>
      <c r="AY56" s="26"/>
      <c r="AZ56" s="26"/>
      <c r="BA56" s="26"/>
      <c r="BB56" s="26"/>
      <c r="BC56" s="26"/>
      <c r="BD56" s="26"/>
      <c r="BE56" s="26"/>
      <c r="BF56" s="26"/>
      <c r="BG56" s="26"/>
      <c r="BH56" s="26"/>
      <c r="BI56" s="26"/>
      <c r="BJ56" s="26"/>
      <c r="BK56" s="26"/>
      <c r="BL56" s="26"/>
      <c r="BM56" s="26"/>
      <c r="BN56" s="26"/>
      <c r="BO56" s="26"/>
      <c r="BP56" s="26"/>
      <c r="BQ56" s="26"/>
      <c r="BR56" s="26"/>
      <c r="BS56" s="26"/>
      <c r="BT56" s="26"/>
      <c r="BU56" s="26"/>
      <c r="BV56" s="26"/>
      <c r="BW56" s="26"/>
    </row>
    <row r="57" ht="18.0" customHeight="1">
      <c r="A57" s="34" t="s">
        <v>162</v>
      </c>
      <c r="B57" s="20" t="s">
        <v>163</v>
      </c>
      <c r="C57" s="21" t="s">
        <v>137</v>
      </c>
      <c r="D57" s="21" t="s">
        <v>71</v>
      </c>
      <c r="E57" s="21" t="s">
        <v>72</v>
      </c>
      <c r="F57" s="23">
        <v>3.0</v>
      </c>
      <c r="G57" s="24">
        <v>46294.0</v>
      </c>
      <c r="H57" s="24">
        <v>46294.0</v>
      </c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  <c r="AM57" s="26"/>
      <c r="AN57" s="35">
        <v>3.0</v>
      </c>
      <c r="AO57" s="26"/>
      <c r="AP57" s="26"/>
      <c r="AQ57" s="26"/>
      <c r="AR57" s="26"/>
      <c r="AS57" s="26"/>
      <c r="AT57" s="26"/>
      <c r="AU57" s="26"/>
      <c r="AV57" s="26"/>
      <c r="AW57" s="26"/>
      <c r="AX57" s="26"/>
      <c r="AY57" s="26"/>
      <c r="AZ57" s="26"/>
      <c r="BA57" s="26"/>
      <c r="BB57" s="26"/>
      <c r="BC57" s="26"/>
      <c r="BD57" s="26"/>
      <c r="BE57" s="26"/>
      <c r="BF57" s="26"/>
      <c r="BG57" s="26"/>
      <c r="BH57" s="26"/>
      <c r="BI57" s="26"/>
      <c r="BJ57" s="26"/>
      <c r="BK57" s="26"/>
      <c r="BL57" s="26"/>
      <c r="BM57" s="26"/>
      <c r="BN57" s="26"/>
      <c r="BO57" s="26"/>
      <c r="BP57" s="26"/>
      <c r="BQ57" s="26"/>
      <c r="BR57" s="26"/>
      <c r="BS57" s="26"/>
      <c r="BT57" s="26"/>
      <c r="BU57" s="26"/>
      <c r="BV57" s="26"/>
      <c r="BW57" s="26"/>
    </row>
    <row r="58" ht="18.0" customHeight="1">
      <c r="A58" s="34" t="s">
        <v>164</v>
      </c>
      <c r="B58" s="20" t="s">
        <v>165</v>
      </c>
      <c r="C58" s="21" t="s">
        <v>137</v>
      </c>
      <c r="D58" s="21" t="s">
        <v>77</v>
      </c>
      <c r="E58" s="21" t="s">
        <v>28</v>
      </c>
      <c r="F58" s="23">
        <v>5.0</v>
      </c>
      <c r="G58" s="24">
        <v>46295.0</v>
      </c>
      <c r="H58" s="24">
        <v>46295.0</v>
      </c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  <c r="AM58" s="26"/>
      <c r="AN58" s="26"/>
      <c r="AO58" s="35">
        <v>5.0</v>
      </c>
      <c r="AP58" s="26"/>
      <c r="AQ58" s="26"/>
      <c r="AR58" s="26"/>
      <c r="AS58" s="26"/>
      <c r="AT58" s="26"/>
      <c r="AU58" s="26"/>
      <c r="AV58" s="26"/>
      <c r="AW58" s="26"/>
      <c r="AX58" s="26"/>
      <c r="AY58" s="26"/>
      <c r="AZ58" s="26"/>
      <c r="BA58" s="26"/>
      <c r="BB58" s="26"/>
      <c r="BC58" s="26"/>
      <c r="BD58" s="26"/>
      <c r="BE58" s="26"/>
      <c r="BF58" s="26"/>
      <c r="BG58" s="26"/>
      <c r="BH58" s="26"/>
      <c r="BI58" s="26"/>
      <c r="BJ58" s="26"/>
      <c r="BK58" s="26"/>
      <c r="BL58" s="26"/>
      <c r="BM58" s="26"/>
      <c r="BN58" s="26"/>
      <c r="BO58" s="26"/>
      <c r="BP58" s="26"/>
      <c r="BQ58" s="26"/>
      <c r="BR58" s="26"/>
      <c r="BS58" s="26"/>
      <c r="BT58" s="26"/>
      <c r="BU58" s="26"/>
      <c r="BV58" s="26"/>
      <c r="BW58" s="26"/>
    </row>
    <row r="59" ht="18.0" customHeight="1">
      <c r="A59" s="34" t="s">
        <v>166</v>
      </c>
      <c r="B59" s="20" t="s">
        <v>167</v>
      </c>
      <c r="C59" s="21" t="s">
        <v>137</v>
      </c>
      <c r="D59" s="21" t="s">
        <v>77</v>
      </c>
      <c r="E59" s="21" t="s">
        <v>28</v>
      </c>
      <c r="F59" s="23">
        <v>4.0</v>
      </c>
      <c r="G59" s="24">
        <v>46295.0</v>
      </c>
      <c r="H59" s="24">
        <v>46296.0</v>
      </c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  <c r="AM59" s="26"/>
      <c r="AN59" s="26"/>
      <c r="AO59" s="35">
        <v>3.0</v>
      </c>
      <c r="AP59" s="35">
        <v>1.0</v>
      </c>
      <c r="AQ59" s="26"/>
      <c r="AR59" s="26"/>
      <c r="AS59" s="26"/>
      <c r="AT59" s="26"/>
      <c r="AU59" s="26"/>
      <c r="AV59" s="26"/>
      <c r="AW59" s="26"/>
      <c r="AX59" s="26"/>
      <c r="AY59" s="26"/>
      <c r="AZ59" s="26"/>
      <c r="BA59" s="26"/>
      <c r="BB59" s="26"/>
      <c r="BC59" s="26"/>
      <c r="BD59" s="26"/>
      <c r="BE59" s="26"/>
      <c r="BF59" s="26"/>
      <c r="BG59" s="26"/>
      <c r="BH59" s="26"/>
      <c r="BI59" s="26"/>
      <c r="BJ59" s="26"/>
      <c r="BK59" s="26"/>
      <c r="BL59" s="26"/>
      <c r="BM59" s="26"/>
      <c r="BN59" s="26"/>
      <c r="BO59" s="26"/>
      <c r="BP59" s="26"/>
      <c r="BQ59" s="26"/>
      <c r="BR59" s="26"/>
      <c r="BS59" s="26"/>
      <c r="BT59" s="26"/>
      <c r="BU59" s="26"/>
      <c r="BV59" s="26"/>
      <c r="BW59" s="26"/>
    </row>
    <row r="60" ht="18.0" customHeight="1">
      <c r="A60" s="34" t="s">
        <v>168</v>
      </c>
      <c r="B60" s="20" t="s">
        <v>169</v>
      </c>
      <c r="C60" s="21" t="s">
        <v>137</v>
      </c>
      <c r="D60" s="21" t="s">
        <v>63</v>
      </c>
      <c r="E60" s="21" t="s">
        <v>26</v>
      </c>
      <c r="F60" s="23">
        <v>5.0</v>
      </c>
      <c r="G60" s="24">
        <v>46297.0</v>
      </c>
      <c r="H60" s="24">
        <v>46297.0</v>
      </c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  <c r="AM60" s="26"/>
      <c r="AN60" s="26"/>
      <c r="AO60" s="26"/>
      <c r="AP60" s="26"/>
      <c r="AQ60" s="35">
        <v>5.0</v>
      </c>
      <c r="AR60" s="26"/>
      <c r="AS60" s="26"/>
      <c r="AT60" s="26"/>
      <c r="AU60" s="26"/>
      <c r="AV60" s="26"/>
      <c r="AW60" s="26"/>
      <c r="AX60" s="26"/>
      <c r="AY60" s="26"/>
      <c r="AZ60" s="26"/>
      <c r="BA60" s="26"/>
      <c r="BB60" s="26"/>
      <c r="BC60" s="26"/>
      <c r="BD60" s="26"/>
      <c r="BE60" s="26"/>
      <c r="BF60" s="26"/>
      <c r="BG60" s="26"/>
      <c r="BH60" s="26"/>
      <c r="BI60" s="26"/>
      <c r="BJ60" s="26"/>
      <c r="BK60" s="26"/>
      <c r="BL60" s="26"/>
      <c r="BM60" s="26"/>
      <c r="BN60" s="26"/>
      <c r="BO60" s="26"/>
      <c r="BP60" s="26"/>
      <c r="BQ60" s="26"/>
      <c r="BR60" s="26"/>
      <c r="BS60" s="26"/>
      <c r="BT60" s="26"/>
      <c r="BU60" s="26"/>
      <c r="BV60" s="26"/>
      <c r="BW60" s="26"/>
    </row>
    <row r="61" ht="18.0" customHeight="1">
      <c r="A61" s="34" t="s">
        <v>170</v>
      </c>
      <c r="B61" s="20" t="s">
        <v>171</v>
      </c>
      <c r="C61" s="21" t="s">
        <v>137</v>
      </c>
      <c r="D61" s="21" t="s">
        <v>63</v>
      </c>
      <c r="E61" s="21" t="s">
        <v>26</v>
      </c>
      <c r="F61" s="23">
        <v>5.0</v>
      </c>
      <c r="G61" s="24">
        <v>46297.0</v>
      </c>
      <c r="H61" s="24">
        <v>46300.0</v>
      </c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  <c r="AM61" s="26"/>
      <c r="AN61" s="26"/>
      <c r="AO61" s="26"/>
      <c r="AP61" s="26"/>
      <c r="AQ61" s="35">
        <v>2.0</v>
      </c>
      <c r="AR61" s="35">
        <v>3.0</v>
      </c>
      <c r="AS61" s="26"/>
      <c r="AT61" s="26"/>
      <c r="AU61" s="26"/>
      <c r="AV61" s="26"/>
      <c r="AW61" s="26"/>
      <c r="AX61" s="26"/>
      <c r="AY61" s="26"/>
      <c r="AZ61" s="26"/>
      <c r="BA61" s="26"/>
      <c r="BB61" s="26"/>
      <c r="BC61" s="26"/>
      <c r="BD61" s="26"/>
      <c r="BE61" s="26"/>
      <c r="BF61" s="26"/>
      <c r="BG61" s="26"/>
      <c r="BH61" s="26"/>
      <c r="BI61" s="26"/>
      <c r="BJ61" s="26"/>
      <c r="BK61" s="26"/>
      <c r="BL61" s="26"/>
      <c r="BM61" s="26"/>
      <c r="BN61" s="26"/>
      <c r="BO61" s="26"/>
      <c r="BP61" s="26"/>
      <c r="BQ61" s="26"/>
      <c r="BR61" s="26"/>
      <c r="BS61" s="26"/>
      <c r="BT61" s="26"/>
      <c r="BU61" s="26"/>
      <c r="BV61" s="26"/>
      <c r="BW61" s="26"/>
    </row>
    <row r="62" ht="18.0" customHeight="1">
      <c r="A62" s="34" t="s">
        <v>172</v>
      </c>
      <c r="B62" s="20" t="s">
        <v>173</v>
      </c>
      <c r="C62" s="21" t="s">
        <v>137</v>
      </c>
      <c r="D62" s="21" t="s">
        <v>71</v>
      </c>
      <c r="E62" s="21" t="s">
        <v>72</v>
      </c>
      <c r="F62" s="23">
        <v>4.0</v>
      </c>
      <c r="G62" s="24">
        <v>46294.0</v>
      </c>
      <c r="H62" s="24">
        <v>46294.0</v>
      </c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  <c r="AM62" s="26"/>
      <c r="AN62" s="35">
        <v>4.0</v>
      </c>
      <c r="AO62" s="26"/>
      <c r="AP62" s="26"/>
      <c r="AQ62" s="26"/>
      <c r="AR62" s="26"/>
      <c r="AS62" s="26"/>
      <c r="AT62" s="26"/>
      <c r="AU62" s="26"/>
      <c r="AV62" s="26"/>
      <c r="AW62" s="26"/>
      <c r="AX62" s="26"/>
      <c r="AY62" s="26"/>
      <c r="AZ62" s="26"/>
      <c r="BA62" s="26"/>
      <c r="BB62" s="26"/>
      <c r="BC62" s="26"/>
      <c r="BD62" s="26"/>
      <c r="BE62" s="26"/>
      <c r="BF62" s="26"/>
      <c r="BG62" s="26"/>
      <c r="BH62" s="26"/>
      <c r="BI62" s="26"/>
      <c r="BJ62" s="26"/>
      <c r="BK62" s="26"/>
      <c r="BL62" s="26"/>
      <c r="BM62" s="26"/>
      <c r="BN62" s="26"/>
      <c r="BO62" s="26"/>
      <c r="BP62" s="26"/>
      <c r="BQ62" s="26"/>
      <c r="BR62" s="26"/>
      <c r="BS62" s="26"/>
      <c r="BT62" s="26"/>
      <c r="BU62" s="26"/>
      <c r="BV62" s="26"/>
      <c r="BW62" s="26"/>
    </row>
    <row r="63" ht="18.0" customHeight="1">
      <c r="A63" s="32" t="s">
        <v>174</v>
      </c>
      <c r="B63" s="20" t="s">
        <v>175</v>
      </c>
      <c r="C63" s="21" t="s">
        <v>137</v>
      </c>
      <c r="D63" s="21" t="s">
        <v>77</v>
      </c>
      <c r="E63" s="21" t="s">
        <v>28</v>
      </c>
      <c r="F63" s="23">
        <v>4.0</v>
      </c>
      <c r="G63" s="24">
        <v>46296.0</v>
      </c>
      <c r="H63" s="24">
        <v>46296.0</v>
      </c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  <c r="AM63" s="26"/>
      <c r="AN63" s="26"/>
      <c r="AO63" s="26"/>
      <c r="AP63" s="33">
        <v>4.0</v>
      </c>
      <c r="AQ63" s="26"/>
      <c r="AR63" s="26"/>
      <c r="AS63" s="26"/>
      <c r="AT63" s="26"/>
      <c r="AU63" s="26"/>
      <c r="AV63" s="26"/>
      <c r="AW63" s="26"/>
      <c r="AX63" s="26"/>
      <c r="AY63" s="26"/>
      <c r="AZ63" s="26"/>
      <c r="BA63" s="26"/>
      <c r="BB63" s="26"/>
      <c r="BC63" s="26"/>
      <c r="BD63" s="26"/>
      <c r="BE63" s="26"/>
      <c r="BF63" s="26"/>
      <c r="BG63" s="26"/>
      <c r="BH63" s="26"/>
      <c r="BI63" s="26"/>
      <c r="BJ63" s="26"/>
      <c r="BK63" s="26"/>
      <c r="BL63" s="26"/>
      <c r="BM63" s="26"/>
      <c r="BN63" s="26"/>
      <c r="BO63" s="26"/>
      <c r="BP63" s="26"/>
      <c r="BQ63" s="26"/>
      <c r="BR63" s="26"/>
      <c r="BS63" s="26"/>
      <c r="BT63" s="26"/>
      <c r="BU63" s="26"/>
      <c r="BV63" s="26"/>
      <c r="BW63" s="26"/>
    </row>
    <row r="64" ht="30.0" customHeight="1">
      <c r="A64" s="32" t="s">
        <v>176</v>
      </c>
      <c r="B64" s="20" t="s">
        <v>177</v>
      </c>
      <c r="C64" s="21" t="s">
        <v>137</v>
      </c>
      <c r="D64" s="21" t="s">
        <v>77</v>
      </c>
      <c r="E64" s="21" t="s">
        <v>28</v>
      </c>
      <c r="F64" s="23">
        <v>4.0</v>
      </c>
      <c r="G64" s="24">
        <v>46296.0</v>
      </c>
      <c r="H64" s="24">
        <v>46297.0</v>
      </c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  <c r="AM64" s="26"/>
      <c r="AN64" s="26"/>
      <c r="AO64" s="26"/>
      <c r="AP64" s="33">
        <v>3.0</v>
      </c>
      <c r="AQ64" s="33">
        <v>1.0</v>
      </c>
      <c r="AR64" s="26"/>
      <c r="AS64" s="26"/>
      <c r="AT64" s="26"/>
      <c r="AU64" s="26"/>
      <c r="AV64" s="26"/>
      <c r="AW64" s="26"/>
      <c r="AX64" s="26"/>
      <c r="AY64" s="26"/>
      <c r="AZ64" s="26"/>
      <c r="BA64" s="26"/>
      <c r="BB64" s="26"/>
      <c r="BC64" s="26"/>
      <c r="BD64" s="26"/>
      <c r="BE64" s="26"/>
      <c r="BF64" s="26"/>
      <c r="BG64" s="26"/>
      <c r="BH64" s="26"/>
      <c r="BI64" s="26"/>
      <c r="BJ64" s="26"/>
      <c r="BK64" s="26"/>
      <c r="BL64" s="26"/>
      <c r="BM64" s="26"/>
      <c r="BN64" s="26"/>
      <c r="BO64" s="26"/>
      <c r="BP64" s="26"/>
      <c r="BQ64" s="26"/>
      <c r="BR64" s="26"/>
      <c r="BS64" s="26"/>
      <c r="BT64" s="26"/>
      <c r="BU64" s="26"/>
      <c r="BV64" s="26"/>
      <c r="BW64" s="26"/>
    </row>
    <row r="65" ht="18.0" customHeight="1">
      <c r="A65" s="32" t="s">
        <v>178</v>
      </c>
      <c r="B65" s="20" t="s">
        <v>179</v>
      </c>
      <c r="C65" s="21" t="s">
        <v>137</v>
      </c>
      <c r="D65" s="21" t="s">
        <v>71</v>
      </c>
      <c r="E65" s="21" t="s">
        <v>72</v>
      </c>
      <c r="F65" s="23">
        <v>3.0</v>
      </c>
      <c r="G65" s="24">
        <v>46294.0</v>
      </c>
      <c r="H65" s="24">
        <v>46295.0</v>
      </c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  <c r="AM65" s="26"/>
      <c r="AN65" s="33">
        <v>1.0</v>
      </c>
      <c r="AO65" s="33">
        <v>2.0</v>
      </c>
      <c r="AP65" s="26"/>
      <c r="AQ65" s="26"/>
      <c r="AR65" s="26"/>
      <c r="AS65" s="26"/>
      <c r="AT65" s="26"/>
      <c r="AU65" s="26"/>
      <c r="AV65" s="26"/>
      <c r="AW65" s="26"/>
      <c r="AX65" s="26"/>
      <c r="AY65" s="26"/>
      <c r="AZ65" s="26"/>
      <c r="BA65" s="26"/>
      <c r="BB65" s="26"/>
      <c r="BC65" s="26"/>
      <c r="BD65" s="26"/>
      <c r="BE65" s="26"/>
      <c r="BF65" s="26"/>
      <c r="BG65" s="26"/>
      <c r="BH65" s="26"/>
      <c r="BI65" s="26"/>
      <c r="BJ65" s="26"/>
      <c r="BK65" s="26"/>
      <c r="BL65" s="26"/>
      <c r="BM65" s="26"/>
      <c r="BN65" s="26"/>
      <c r="BO65" s="26"/>
      <c r="BP65" s="26"/>
      <c r="BQ65" s="26"/>
      <c r="BR65" s="26"/>
      <c r="BS65" s="26"/>
      <c r="BT65" s="26"/>
      <c r="BU65" s="26"/>
      <c r="BV65" s="26"/>
      <c r="BW65" s="26"/>
    </row>
    <row r="66" ht="18.0" customHeight="1">
      <c r="A66" s="36" t="s">
        <v>180</v>
      </c>
      <c r="B66" s="20" t="s">
        <v>181</v>
      </c>
      <c r="C66" s="21" t="s">
        <v>182</v>
      </c>
      <c r="D66" s="21" t="s">
        <v>63</v>
      </c>
      <c r="E66" s="21" t="s">
        <v>26</v>
      </c>
      <c r="F66" s="23">
        <v>5.0</v>
      </c>
      <c r="G66" s="24">
        <v>46307.0</v>
      </c>
      <c r="H66" s="24">
        <v>46307.0</v>
      </c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  <c r="AM66" s="26"/>
      <c r="AN66" s="26"/>
      <c r="AO66" s="26"/>
      <c r="AP66" s="26"/>
      <c r="AQ66" s="26"/>
      <c r="AR66" s="26"/>
      <c r="AS66" s="26"/>
      <c r="AT66" s="26"/>
      <c r="AU66" s="26"/>
      <c r="AV66" s="26"/>
      <c r="AW66" s="37">
        <v>5.0</v>
      </c>
      <c r="AX66" s="26"/>
      <c r="AY66" s="26"/>
      <c r="AZ66" s="26"/>
      <c r="BA66" s="26"/>
      <c r="BB66" s="26"/>
      <c r="BC66" s="26"/>
      <c r="BD66" s="26"/>
      <c r="BE66" s="26"/>
      <c r="BF66" s="26"/>
      <c r="BG66" s="26"/>
      <c r="BH66" s="26"/>
      <c r="BI66" s="26"/>
      <c r="BJ66" s="26"/>
      <c r="BK66" s="26"/>
      <c r="BL66" s="26"/>
      <c r="BM66" s="26"/>
      <c r="BN66" s="26"/>
      <c r="BO66" s="26"/>
      <c r="BP66" s="26"/>
      <c r="BQ66" s="26"/>
      <c r="BR66" s="26"/>
      <c r="BS66" s="26"/>
      <c r="BT66" s="26"/>
      <c r="BU66" s="26"/>
      <c r="BV66" s="26"/>
      <c r="BW66" s="26"/>
    </row>
    <row r="67" ht="18.0" customHeight="1">
      <c r="A67" s="36" t="s">
        <v>183</v>
      </c>
      <c r="B67" s="20" t="s">
        <v>184</v>
      </c>
      <c r="C67" s="21" t="s">
        <v>182</v>
      </c>
      <c r="D67" s="21" t="s">
        <v>68</v>
      </c>
      <c r="E67" s="21" t="s">
        <v>26</v>
      </c>
      <c r="F67" s="23">
        <v>5.0</v>
      </c>
      <c r="G67" s="24">
        <v>46307.0</v>
      </c>
      <c r="H67" s="24">
        <v>46308.0</v>
      </c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  <c r="AM67" s="26"/>
      <c r="AN67" s="26"/>
      <c r="AO67" s="26"/>
      <c r="AP67" s="26"/>
      <c r="AQ67" s="26"/>
      <c r="AR67" s="26"/>
      <c r="AS67" s="26"/>
      <c r="AT67" s="26"/>
      <c r="AU67" s="26"/>
      <c r="AV67" s="26"/>
      <c r="AW67" s="37">
        <v>3.0</v>
      </c>
      <c r="AX67" s="37">
        <v>2.0</v>
      </c>
      <c r="AY67" s="26"/>
      <c r="AZ67" s="26"/>
      <c r="BA67" s="26"/>
      <c r="BB67" s="26"/>
      <c r="BC67" s="26"/>
      <c r="BD67" s="26"/>
      <c r="BE67" s="26"/>
      <c r="BF67" s="26"/>
      <c r="BG67" s="26"/>
      <c r="BH67" s="26"/>
      <c r="BI67" s="26"/>
      <c r="BJ67" s="26"/>
      <c r="BK67" s="26"/>
      <c r="BL67" s="26"/>
      <c r="BM67" s="26"/>
      <c r="BN67" s="26"/>
      <c r="BO67" s="26"/>
      <c r="BP67" s="26"/>
      <c r="BQ67" s="26"/>
      <c r="BR67" s="26"/>
      <c r="BS67" s="26"/>
      <c r="BT67" s="26"/>
      <c r="BU67" s="26"/>
      <c r="BV67" s="26"/>
      <c r="BW67" s="26"/>
    </row>
    <row r="68" ht="18.0" customHeight="1">
      <c r="A68" s="36" t="s">
        <v>185</v>
      </c>
      <c r="B68" s="20" t="s">
        <v>186</v>
      </c>
      <c r="C68" s="21" t="s">
        <v>182</v>
      </c>
      <c r="D68" s="21" t="s">
        <v>71</v>
      </c>
      <c r="E68" s="21" t="s">
        <v>72</v>
      </c>
      <c r="F68" s="23">
        <v>4.0</v>
      </c>
      <c r="G68" s="24">
        <v>46307.0</v>
      </c>
      <c r="H68" s="24">
        <v>46307.0</v>
      </c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  <c r="AM68" s="26"/>
      <c r="AN68" s="26"/>
      <c r="AO68" s="26"/>
      <c r="AP68" s="26"/>
      <c r="AQ68" s="26"/>
      <c r="AR68" s="26"/>
      <c r="AS68" s="26"/>
      <c r="AT68" s="26"/>
      <c r="AU68" s="26"/>
      <c r="AV68" s="26"/>
      <c r="AW68" s="37">
        <v>4.0</v>
      </c>
      <c r="AX68" s="26"/>
      <c r="AY68" s="26"/>
      <c r="AZ68" s="26"/>
      <c r="BA68" s="26"/>
      <c r="BB68" s="26"/>
      <c r="BC68" s="26"/>
      <c r="BD68" s="26"/>
      <c r="BE68" s="26"/>
      <c r="BF68" s="26"/>
      <c r="BG68" s="26"/>
      <c r="BH68" s="26"/>
      <c r="BI68" s="26"/>
      <c r="BJ68" s="26"/>
      <c r="BK68" s="26"/>
      <c r="BL68" s="26"/>
      <c r="BM68" s="26"/>
      <c r="BN68" s="26"/>
      <c r="BO68" s="26"/>
      <c r="BP68" s="26"/>
      <c r="BQ68" s="26"/>
      <c r="BR68" s="26"/>
      <c r="BS68" s="26"/>
      <c r="BT68" s="26"/>
      <c r="BU68" s="26"/>
      <c r="BV68" s="26"/>
      <c r="BW68" s="26"/>
    </row>
    <row r="69" ht="18.0" customHeight="1">
      <c r="A69" s="36" t="s">
        <v>187</v>
      </c>
      <c r="B69" s="20" t="s">
        <v>188</v>
      </c>
      <c r="C69" s="21" t="s">
        <v>182</v>
      </c>
      <c r="D69" s="21" t="s">
        <v>63</v>
      </c>
      <c r="E69" s="21" t="s">
        <v>26</v>
      </c>
      <c r="F69" s="23">
        <v>6.0</v>
      </c>
      <c r="G69" s="24">
        <v>46308.0</v>
      </c>
      <c r="H69" s="24">
        <v>46308.0</v>
      </c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  <c r="AM69" s="26"/>
      <c r="AN69" s="26"/>
      <c r="AO69" s="26"/>
      <c r="AP69" s="26"/>
      <c r="AQ69" s="26"/>
      <c r="AR69" s="26"/>
      <c r="AS69" s="26"/>
      <c r="AT69" s="26"/>
      <c r="AU69" s="26"/>
      <c r="AV69" s="26"/>
      <c r="AW69" s="26"/>
      <c r="AX69" s="37">
        <v>6.0</v>
      </c>
      <c r="AY69" s="26"/>
      <c r="AZ69" s="26"/>
      <c r="BA69" s="26"/>
      <c r="BB69" s="26"/>
      <c r="BC69" s="26"/>
      <c r="BD69" s="26"/>
      <c r="BE69" s="26"/>
      <c r="BF69" s="26"/>
      <c r="BG69" s="26"/>
      <c r="BH69" s="26"/>
      <c r="BI69" s="26"/>
      <c r="BJ69" s="26"/>
      <c r="BK69" s="26"/>
      <c r="BL69" s="26"/>
      <c r="BM69" s="26"/>
      <c r="BN69" s="26"/>
      <c r="BO69" s="26"/>
      <c r="BP69" s="26"/>
      <c r="BQ69" s="26"/>
      <c r="BR69" s="26"/>
      <c r="BS69" s="26"/>
      <c r="BT69" s="26"/>
      <c r="BU69" s="26"/>
      <c r="BV69" s="26"/>
      <c r="BW69" s="26"/>
    </row>
    <row r="70" ht="18.0" customHeight="1">
      <c r="A70" s="36" t="s">
        <v>189</v>
      </c>
      <c r="B70" s="20" t="s">
        <v>190</v>
      </c>
      <c r="C70" s="21" t="s">
        <v>182</v>
      </c>
      <c r="D70" s="21" t="s">
        <v>68</v>
      </c>
      <c r="E70" s="21" t="s">
        <v>26</v>
      </c>
      <c r="F70" s="23">
        <v>5.0</v>
      </c>
      <c r="G70" s="24">
        <v>46309.0</v>
      </c>
      <c r="H70" s="24">
        <v>46309.0</v>
      </c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  <c r="AM70" s="26"/>
      <c r="AN70" s="26"/>
      <c r="AO70" s="26"/>
      <c r="AP70" s="26"/>
      <c r="AQ70" s="26"/>
      <c r="AR70" s="26"/>
      <c r="AS70" s="26"/>
      <c r="AT70" s="26"/>
      <c r="AU70" s="26"/>
      <c r="AV70" s="26"/>
      <c r="AW70" s="26"/>
      <c r="AX70" s="26"/>
      <c r="AY70" s="37">
        <v>5.0</v>
      </c>
      <c r="AZ70" s="26"/>
      <c r="BA70" s="26"/>
      <c r="BB70" s="26"/>
      <c r="BC70" s="26"/>
      <c r="BD70" s="26"/>
      <c r="BE70" s="26"/>
      <c r="BF70" s="26"/>
      <c r="BG70" s="26"/>
      <c r="BH70" s="26"/>
      <c r="BI70" s="26"/>
      <c r="BJ70" s="26"/>
      <c r="BK70" s="26"/>
      <c r="BL70" s="26"/>
      <c r="BM70" s="26"/>
      <c r="BN70" s="26"/>
      <c r="BO70" s="26"/>
      <c r="BP70" s="26"/>
      <c r="BQ70" s="26"/>
      <c r="BR70" s="26"/>
      <c r="BS70" s="26"/>
      <c r="BT70" s="26"/>
      <c r="BU70" s="26"/>
      <c r="BV70" s="26"/>
      <c r="BW70" s="26"/>
    </row>
    <row r="71" ht="18.0" customHeight="1">
      <c r="A71" s="36" t="s">
        <v>191</v>
      </c>
      <c r="B71" s="20" t="s">
        <v>186</v>
      </c>
      <c r="C71" s="21" t="s">
        <v>182</v>
      </c>
      <c r="D71" s="21" t="s">
        <v>71</v>
      </c>
      <c r="E71" s="21" t="s">
        <v>72</v>
      </c>
      <c r="F71" s="23">
        <v>4.0</v>
      </c>
      <c r="G71" s="24">
        <v>46307.0</v>
      </c>
      <c r="H71" s="24">
        <v>46307.0</v>
      </c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  <c r="AM71" s="26"/>
      <c r="AN71" s="26"/>
      <c r="AO71" s="26"/>
      <c r="AP71" s="26"/>
      <c r="AQ71" s="26"/>
      <c r="AR71" s="26"/>
      <c r="AS71" s="26"/>
      <c r="AT71" s="26"/>
      <c r="AU71" s="26"/>
      <c r="AV71" s="26"/>
      <c r="AW71" s="37">
        <v>4.0</v>
      </c>
      <c r="AX71" s="26"/>
      <c r="AY71" s="26"/>
      <c r="AZ71" s="26"/>
      <c r="BA71" s="26"/>
      <c r="BB71" s="26"/>
      <c r="BC71" s="26"/>
      <c r="BD71" s="26"/>
      <c r="BE71" s="26"/>
      <c r="BF71" s="26"/>
      <c r="BG71" s="26"/>
      <c r="BH71" s="26"/>
      <c r="BI71" s="26"/>
      <c r="BJ71" s="26"/>
      <c r="BK71" s="26"/>
      <c r="BL71" s="26"/>
      <c r="BM71" s="26"/>
      <c r="BN71" s="26"/>
      <c r="BO71" s="26"/>
      <c r="BP71" s="26"/>
      <c r="BQ71" s="26"/>
      <c r="BR71" s="26"/>
      <c r="BS71" s="26"/>
      <c r="BT71" s="26"/>
      <c r="BU71" s="26"/>
      <c r="BV71" s="26"/>
      <c r="BW71" s="26"/>
    </row>
    <row r="72" ht="18.0" customHeight="1">
      <c r="A72" s="36" t="s">
        <v>192</v>
      </c>
      <c r="B72" s="20" t="s">
        <v>193</v>
      </c>
      <c r="C72" s="21" t="s">
        <v>182</v>
      </c>
      <c r="D72" s="21" t="s">
        <v>63</v>
      </c>
      <c r="E72" s="21" t="s">
        <v>26</v>
      </c>
      <c r="F72" s="23">
        <v>6.0</v>
      </c>
      <c r="G72" s="24">
        <v>46309.0</v>
      </c>
      <c r="H72" s="24">
        <v>46310.0</v>
      </c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  <c r="AM72" s="26"/>
      <c r="AN72" s="26"/>
      <c r="AO72" s="26"/>
      <c r="AP72" s="26"/>
      <c r="AQ72" s="26"/>
      <c r="AR72" s="26"/>
      <c r="AS72" s="26"/>
      <c r="AT72" s="26"/>
      <c r="AU72" s="26"/>
      <c r="AV72" s="26"/>
      <c r="AW72" s="26"/>
      <c r="AX72" s="26"/>
      <c r="AY72" s="37">
        <v>3.0</v>
      </c>
      <c r="AZ72" s="37">
        <v>3.0</v>
      </c>
      <c r="BA72" s="26"/>
      <c r="BB72" s="26"/>
      <c r="BC72" s="26"/>
      <c r="BD72" s="26"/>
      <c r="BE72" s="26"/>
      <c r="BF72" s="26"/>
      <c r="BG72" s="26"/>
      <c r="BH72" s="26"/>
      <c r="BI72" s="26"/>
      <c r="BJ72" s="26"/>
      <c r="BK72" s="26"/>
      <c r="BL72" s="26"/>
      <c r="BM72" s="26"/>
      <c r="BN72" s="26"/>
      <c r="BO72" s="26"/>
      <c r="BP72" s="26"/>
      <c r="BQ72" s="26"/>
      <c r="BR72" s="26"/>
      <c r="BS72" s="26"/>
      <c r="BT72" s="26"/>
      <c r="BU72" s="26"/>
      <c r="BV72" s="26"/>
      <c r="BW72" s="26"/>
    </row>
    <row r="73" ht="18.0" customHeight="1">
      <c r="A73" s="36" t="s">
        <v>194</v>
      </c>
      <c r="B73" s="20" t="s">
        <v>195</v>
      </c>
      <c r="C73" s="21" t="s">
        <v>182</v>
      </c>
      <c r="D73" s="21" t="s">
        <v>68</v>
      </c>
      <c r="E73" s="21" t="s">
        <v>26</v>
      </c>
      <c r="F73" s="23">
        <v>5.0</v>
      </c>
      <c r="G73" s="24">
        <v>46310.0</v>
      </c>
      <c r="H73" s="24">
        <v>46310.0</v>
      </c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  <c r="AM73" s="26"/>
      <c r="AN73" s="26"/>
      <c r="AO73" s="26"/>
      <c r="AP73" s="26"/>
      <c r="AQ73" s="26"/>
      <c r="AR73" s="26"/>
      <c r="AS73" s="26"/>
      <c r="AT73" s="26"/>
      <c r="AU73" s="26"/>
      <c r="AV73" s="26"/>
      <c r="AW73" s="26"/>
      <c r="AX73" s="26"/>
      <c r="AY73" s="26"/>
      <c r="AZ73" s="37">
        <v>5.0</v>
      </c>
      <c r="BA73" s="26"/>
      <c r="BB73" s="26"/>
      <c r="BC73" s="26"/>
      <c r="BD73" s="26"/>
      <c r="BE73" s="26"/>
      <c r="BF73" s="26"/>
      <c r="BG73" s="26"/>
      <c r="BH73" s="26"/>
      <c r="BI73" s="26"/>
      <c r="BJ73" s="26"/>
      <c r="BK73" s="26"/>
      <c r="BL73" s="26"/>
      <c r="BM73" s="26"/>
      <c r="BN73" s="26"/>
      <c r="BO73" s="26"/>
      <c r="BP73" s="26"/>
      <c r="BQ73" s="26"/>
      <c r="BR73" s="26"/>
      <c r="BS73" s="26"/>
      <c r="BT73" s="26"/>
      <c r="BU73" s="26"/>
      <c r="BV73" s="26"/>
      <c r="BW73" s="26"/>
    </row>
    <row r="74" ht="18.0" customHeight="1">
      <c r="A74" s="36" t="s">
        <v>196</v>
      </c>
      <c r="B74" s="20" t="s">
        <v>186</v>
      </c>
      <c r="C74" s="21" t="s">
        <v>182</v>
      </c>
      <c r="D74" s="21" t="s">
        <v>71</v>
      </c>
      <c r="E74" s="21" t="s">
        <v>72</v>
      </c>
      <c r="F74" s="23">
        <v>4.0</v>
      </c>
      <c r="G74" s="24">
        <v>46308.0</v>
      </c>
      <c r="H74" s="24">
        <v>46308.0</v>
      </c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  <c r="AM74" s="26"/>
      <c r="AN74" s="26"/>
      <c r="AO74" s="26"/>
      <c r="AP74" s="26"/>
      <c r="AQ74" s="26"/>
      <c r="AR74" s="26"/>
      <c r="AS74" s="26"/>
      <c r="AT74" s="26"/>
      <c r="AU74" s="26"/>
      <c r="AV74" s="26"/>
      <c r="AW74" s="26"/>
      <c r="AX74" s="37">
        <v>4.0</v>
      </c>
      <c r="AY74" s="26"/>
      <c r="AZ74" s="26"/>
      <c r="BA74" s="26"/>
      <c r="BB74" s="26"/>
      <c r="BC74" s="26"/>
      <c r="BD74" s="26"/>
      <c r="BE74" s="26"/>
      <c r="BF74" s="26"/>
      <c r="BG74" s="26"/>
      <c r="BH74" s="26"/>
      <c r="BI74" s="26"/>
      <c r="BJ74" s="26"/>
      <c r="BK74" s="26"/>
      <c r="BL74" s="26"/>
      <c r="BM74" s="26"/>
      <c r="BN74" s="26"/>
      <c r="BO74" s="26"/>
      <c r="BP74" s="26"/>
      <c r="BQ74" s="26"/>
      <c r="BR74" s="26"/>
      <c r="BS74" s="26"/>
      <c r="BT74" s="26"/>
      <c r="BU74" s="26"/>
      <c r="BV74" s="26"/>
      <c r="BW74" s="26"/>
    </row>
    <row r="75" ht="18.0" customHeight="1">
      <c r="A75" s="38" t="s">
        <v>197</v>
      </c>
      <c r="B75" s="20" t="s">
        <v>198</v>
      </c>
      <c r="C75" s="21" t="s">
        <v>182</v>
      </c>
      <c r="D75" s="21" t="s">
        <v>63</v>
      </c>
      <c r="E75" s="21" t="s">
        <v>26</v>
      </c>
      <c r="F75" s="23">
        <v>6.0</v>
      </c>
      <c r="G75" s="24">
        <v>46311.0</v>
      </c>
      <c r="H75" s="24">
        <v>46311.0</v>
      </c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  <c r="AM75" s="26"/>
      <c r="AN75" s="26"/>
      <c r="AO75" s="26"/>
      <c r="AP75" s="26"/>
      <c r="AQ75" s="26"/>
      <c r="AR75" s="26"/>
      <c r="AS75" s="26"/>
      <c r="AT75" s="26"/>
      <c r="AU75" s="26"/>
      <c r="AV75" s="26"/>
      <c r="AW75" s="26"/>
      <c r="AX75" s="26"/>
      <c r="AY75" s="26"/>
      <c r="AZ75" s="26"/>
      <c r="BA75" s="39">
        <v>6.0</v>
      </c>
      <c r="BB75" s="26"/>
      <c r="BC75" s="26"/>
      <c r="BD75" s="26"/>
      <c r="BE75" s="26"/>
      <c r="BF75" s="26"/>
      <c r="BG75" s="26"/>
      <c r="BH75" s="26"/>
      <c r="BI75" s="26"/>
      <c r="BJ75" s="26"/>
      <c r="BK75" s="26"/>
      <c r="BL75" s="26"/>
      <c r="BM75" s="26"/>
      <c r="BN75" s="26"/>
      <c r="BO75" s="26"/>
      <c r="BP75" s="26"/>
      <c r="BQ75" s="26"/>
      <c r="BR75" s="26"/>
      <c r="BS75" s="26"/>
      <c r="BT75" s="26"/>
      <c r="BU75" s="26"/>
      <c r="BV75" s="26"/>
      <c r="BW75" s="26"/>
    </row>
    <row r="76" ht="18.0" customHeight="1">
      <c r="A76" s="38" t="s">
        <v>199</v>
      </c>
      <c r="B76" s="20" t="s">
        <v>200</v>
      </c>
      <c r="C76" s="21" t="s">
        <v>182</v>
      </c>
      <c r="D76" s="21" t="s">
        <v>63</v>
      </c>
      <c r="E76" s="21" t="s">
        <v>26</v>
      </c>
      <c r="F76" s="23">
        <v>4.0</v>
      </c>
      <c r="G76" s="24">
        <v>46311.0</v>
      </c>
      <c r="H76" s="24">
        <v>46314.0</v>
      </c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  <c r="AM76" s="26"/>
      <c r="AN76" s="26"/>
      <c r="AO76" s="26"/>
      <c r="AP76" s="26"/>
      <c r="AQ76" s="26"/>
      <c r="AR76" s="26"/>
      <c r="AS76" s="26"/>
      <c r="AT76" s="26"/>
      <c r="AU76" s="26"/>
      <c r="AV76" s="26"/>
      <c r="AW76" s="26"/>
      <c r="AX76" s="26"/>
      <c r="AY76" s="26"/>
      <c r="AZ76" s="26"/>
      <c r="BA76" s="39">
        <v>2.0</v>
      </c>
      <c r="BB76" s="39">
        <v>2.0</v>
      </c>
      <c r="BC76" s="26"/>
      <c r="BD76" s="26"/>
      <c r="BE76" s="26"/>
      <c r="BF76" s="26"/>
      <c r="BG76" s="26"/>
      <c r="BH76" s="26"/>
      <c r="BI76" s="26"/>
      <c r="BJ76" s="26"/>
      <c r="BK76" s="26"/>
      <c r="BL76" s="26"/>
      <c r="BM76" s="26"/>
      <c r="BN76" s="26"/>
      <c r="BO76" s="26"/>
      <c r="BP76" s="26"/>
      <c r="BQ76" s="26"/>
      <c r="BR76" s="26"/>
      <c r="BS76" s="26"/>
      <c r="BT76" s="26"/>
      <c r="BU76" s="26"/>
      <c r="BV76" s="26"/>
      <c r="BW76" s="26"/>
    </row>
    <row r="77" ht="30.0" customHeight="1">
      <c r="A77" s="38" t="s">
        <v>201</v>
      </c>
      <c r="B77" s="20" t="s">
        <v>202</v>
      </c>
      <c r="C77" s="21" t="s">
        <v>182</v>
      </c>
      <c r="D77" s="21" t="s">
        <v>63</v>
      </c>
      <c r="E77" s="21" t="s">
        <v>26</v>
      </c>
      <c r="F77" s="23">
        <v>4.0</v>
      </c>
      <c r="G77" s="24">
        <v>46314.0</v>
      </c>
      <c r="H77" s="24">
        <v>46314.0</v>
      </c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  <c r="AM77" s="26"/>
      <c r="AN77" s="26"/>
      <c r="AO77" s="26"/>
      <c r="AP77" s="26"/>
      <c r="AQ77" s="26"/>
      <c r="AR77" s="26"/>
      <c r="AS77" s="26"/>
      <c r="AT77" s="26"/>
      <c r="AU77" s="26"/>
      <c r="AV77" s="26"/>
      <c r="AW77" s="26"/>
      <c r="AX77" s="26"/>
      <c r="AY77" s="26"/>
      <c r="AZ77" s="26"/>
      <c r="BA77" s="26"/>
      <c r="BB77" s="39">
        <v>4.0</v>
      </c>
      <c r="BC77" s="26"/>
      <c r="BD77" s="26"/>
      <c r="BE77" s="26"/>
      <c r="BF77" s="26"/>
      <c r="BG77" s="26"/>
      <c r="BH77" s="26"/>
      <c r="BI77" s="26"/>
      <c r="BJ77" s="26"/>
      <c r="BK77" s="26"/>
      <c r="BL77" s="26"/>
      <c r="BM77" s="26"/>
      <c r="BN77" s="26"/>
      <c r="BO77" s="26"/>
      <c r="BP77" s="26"/>
      <c r="BQ77" s="26"/>
      <c r="BR77" s="26"/>
      <c r="BS77" s="26"/>
      <c r="BT77" s="26"/>
      <c r="BU77" s="26"/>
      <c r="BV77" s="26"/>
      <c r="BW77" s="26"/>
    </row>
    <row r="78" ht="30.0" customHeight="1">
      <c r="A78" s="38" t="s">
        <v>203</v>
      </c>
      <c r="B78" s="20" t="s">
        <v>204</v>
      </c>
      <c r="C78" s="21" t="s">
        <v>182</v>
      </c>
      <c r="D78" s="21" t="s">
        <v>77</v>
      </c>
      <c r="E78" s="21" t="s">
        <v>28</v>
      </c>
      <c r="F78" s="23">
        <v>5.0</v>
      </c>
      <c r="G78" s="24">
        <v>46307.0</v>
      </c>
      <c r="H78" s="24">
        <v>46307.0</v>
      </c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  <c r="AM78" s="26"/>
      <c r="AN78" s="26"/>
      <c r="AO78" s="26"/>
      <c r="AP78" s="26"/>
      <c r="AQ78" s="26"/>
      <c r="AR78" s="26"/>
      <c r="AS78" s="26"/>
      <c r="AT78" s="26"/>
      <c r="AU78" s="26"/>
      <c r="AV78" s="26"/>
      <c r="AW78" s="39">
        <v>5.0</v>
      </c>
      <c r="AX78" s="26"/>
      <c r="AY78" s="26"/>
      <c r="AZ78" s="26"/>
      <c r="BA78" s="26"/>
      <c r="BB78" s="26"/>
      <c r="BC78" s="26"/>
      <c r="BD78" s="26"/>
      <c r="BE78" s="26"/>
      <c r="BF78" s="26"/>
      <c r="BG78" s="26"/>
      <c r="BH78" s="26"/>
      <c r="BI78" s="26"/>
      <c r="BJ78" s="26"/>
      <c r="BK78" s="26"/>
      <c r="BL78" s="26"/>
      <c r="BM78" s="26"/>
      <c r="BN78" s="26"/>
      <c r="BO78" s="26"/>
      <c r="BP78" s="26"/>
      <c r="BQ78" s="26"/>
      <c r="BR78" s="26"/>
      <c r="BS78" s="26"/>
      <c r="BT78" s="26"/>
      <c r="BU78" s="26"/>
      <c r="BV78" s="26"/>
      <c r="BW78" s="26"/>
    </row>
    <row r="79" ht="18.0" customHeight="1">
      <c r="A79" s="38" t="s">
        <v>205</v>
      </c>
      <c r="B79" s="20" t="s">
        <v>206</v>
      </c>
      <c r="C79" s="21" t="s">
        <v>182</v>
      </c>
      <c r="D79" s="21" t="s">
        <v>71</v>
      </c>
      <c r="E79" s="21" t="s">
        <v>72</v>
      </c>
      <c r="F79" s="23">
        <v>4.0</v>
      </c>
      <c r="G79" s="24">
        <v>46308.0</v>
      </c>
      <c r="H79" s="24">
        <v>46308.0</v>
      </c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  <c r="AM79" s="26"/>
      <c r="AN79" s="26"/>
      <c r="AO79" s="26"/>
      <c r="AP79" s="26"/>
      <c r="AQ79" s="26"/>
      <c r="AR79" s="26"/>
      <c r="AS79" s="26"/>
      <c r="AT79" s="26"/>
      <c r="AU79" s="26"/>
      <c r="AV79" s="26"/>
      <c r="AW79" s="26"/>
      <c r="AX79" s="39">
        <v>4.0</v>
      </c>
      <c r="AY79" s="26"/>
      <c r="AZ79" s="26"/>
      <c r="BA79" s="26"/>
      <c r="BB79" s="26"/>
      <c r="BC79" s="26"/>
      <c r="BD79" s="26"/>
      <c r="BE79" s="26"/>
      <c r="BF79" s="26"/>
      <c r="BG79" s="26"/>
      <c r="BH79" s="26"/>
      <c r="BI79" s="26"/>
      <c r="BJ79" s="26"/>
      <c r="BK79" s="26"/>
      <c r="BL79" s="26"/>
      <c r="BM79" s="26"/>
      <c r="BN79" s="26"/>
      <c r="BO79" s="26"/>
      <c r="BP79" s="26"/>
      <c r="BQ79" s="26"/>
      <c r="BR79" s="26"/>
      <c r="BS79" s="26"/>
      <c r="BT79" s="26"/>
      <c r="BU79" s="26"/>
      <c r="BV79" s="26"/>
      <c r="BW79" s="26"/>
    </row>
    <row r="80" ht="18.0" customHeight="1">
      <c r="A80" s="38" t="s">
        <v>207</v>
      </c>
      <c r="B80" s="20" t="s">
        <v>208</v>
      </c>
      <c r="C80" s="21" t="s">
        <v>182</v>
      </c>
      <c r="D80" s="21" t="s">
        <v>77</v>
      </c>
      <c r="E80" s="21" t="s">
        <v>28</v>
      </c>
      <c r="F80" s="23">
        <v>6.0</v>
      </c>
      <c r="G80" s="24">
        <v>46307.0</v>
      </c>
      <c r="H80" s="24">
        <v>46308.0</v>
      </c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  <c r="AM80" s="26"/>
      <c r="AN80" s="26"/>
      <c r="AO80" s="26"/>
      <c r="AP80" s="26"/>
      <c r="AQ80" s="26"/>
      <c r="AR80" s="26"/>
      <c r="AS80" s="26"/>
      <c r="AT80" s="26"/>
      <c r="AU80" s="26"/>
      <c r="AV80" s="26"/>
      <c r="AW80" s="39">
        <v>3.0</v>
      </c>
      <c r="AX80" s="39">
        <v>3.0</v>
      </c>
      <c r="AY80" s="26"/>
      <c r="AZ80" s="26"/>
      <c r="BA80" s="26"/>
      <c r="BB80" s="26"/>
      <c r="BC80" s="26"/>
      <c r="BD80" s="26"/>
      <c r="BE80" s="26"/>
      <c r="BF80" s="26"/>
      <c r="BG80" s="26"/>
      <c r="BH80" s="26"/>
      <c r="BI80" s="26"/>
      <c r="BJ80" s="26"/>
      <c r="BK80" s="26"/>
      <c r="BL80" s="26"/>
      <c r="BM80" s="26"/>
      <c r="BN80" s="26"/>
      <c r="BO80" s="26"/>
      <c r="BP80" s="26"/>
      <c r="BQ80" s="26"/>
      <c r="BR80" s="26"/>
      <c r="BS80" s="26"/>
      <c r="BT80" s="26"/>
      <c r="BU80" s="26"/>
      <c r="BV80" s="26"/>
      <c r="BW80" s="26"/>
    </row>
    <row r="81" ht="18.0" customHeight="1">
      <c r="A81" s="38" t="s">
        <v>209</v>
      </c>
      <c r="B81" s="20" t="s">
        <v>210</v>
      </c>
      <c r="C81" s="21" t="s">
        <v>182</v>
      </c>
      <c r="D81" s="21" t="s">
        <v>77</v>
      </c>
      <c r="E81" s="21" t="s">
        <v>28</v>
      </c>
      <c r="F81" s="23">
        <v>5.0</v>
      </c>
      <c r="G81" s="24">
        <v>46308.0</v>
      </c>
      <c r="H81" s="24">
        <v>46308.0</v>
      </c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  <c r="AM81" s="26"/>
      <c r="AN81" s="26"/>
      <c r="AO81" s="26"/>
      <c r="AP81" s="26"/>
      <c r="AQ81" s="26"/>
      <c r="AR81" s="26"/>
      <c r="AS81" s="26"/>
      <c r="AT81" s="26"/>
      <c r="AU81" s="26"/>
      <c r="AV81" s="26"/>
      <c r="AW81" s="26"/>
      <c r="AX81" s="39">
        <v>5.0</v>
      </c>
      <c r="AY81" s="26"/>
      <c r="AZ81" s="26"/>
      <c r="BA81" s="26"/>
      <c r="BB81" s="26"/>
      <c r="BC81" s="26"/>
      <c r="BD81" s="26"/>
      <c r="BE81" s="26"/>
      <c r="BF81" s="26"/>
      <c r="BG81" s="26"/>
      <c r="BH81" s="26"/>
      <c r="BI81" s="26"/>
      <c r="BJ81" s="26"/>
      <c r="BK81" s="26"/>
      <c r="BL81" s="26"/>
      <c r="BM81" s="26"/>
      <c r="BN81" s="26"/>
      <c r="BO81" s="26"/>
      <c r="BP81" s="26"/>
      <c r="BQ81" s="26"/>
      <c r="BR81" s="26"/>
      <c r="BS81" s="26"/>
      <c r="BT81" s="26"/>
      <c r="BU81" s="26"/>
      <c r="BV81" s="26"/>
      <c r="BW81" s="26"/>
    </row>
    <row r="82" ht="18.0" customHeight="1">
      <c r="A82" s="38" t="s">
        <v>211</v>
      </c>
      <c r="B82" s="20" t="s">
        <v>212</v>
      </c>
      <c r="C82" s="21" t="s">
        <v>182</v>
      </c>
      <c r="D82" s="21" t="s">
        <v>63</v>
      </c>
      <c r="E82" s="21" t="s">
        <v>26</v>
      </c>
      <c r="F82" s="23">
        <v>6.0</v>
      </c>
      <c r="G82" s="24">
        <v>46314.0</v>
      </c>
      <c r="H82" s="24">
        <v>46315.0</v>
      </c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  <c r="AM82" s="26"/>
      <c r="AN82" s="26"/>
      <c r="AO82" s="26"/>
      <c r="AP82" s="26"/>
      <c r="AQ82" s="26"/>
      <c r="AR82" s="26"/>
      <c r="AS82" s="26"/>
      <c r="AT82" s="26"/>
      <c r="AU82" s="26"/>
      <c r="AV82" s="26"/>
      <c r="AW82" s="26"/>
      <c r="AX82" s="26"/>
      <c r="AY82" s="26"/>
      <c r="AZ82" s="26"/>
      <c r="BA82" s="26"/>
      <c r="BB82" s="39">
        <v>2.0</v>
      </c>
      <c r="BC82" s="39">
        <v>4.0</v>
      </c>
      <c r="BD82" s="26"/>
      <c r="BE82" s="26"/>
      <c r="BF82" s="26"/>
      <c r="BG82" s="26"/>
      <c r="BH82" s="26"/>
      <c r="BI82" s="26"/>
      <c r="BJ82" s="26"/>
      <c r="BK82" s="26"/>
      <c r="BL82" s="26"/>
      <c r="BM82" s="26"/>
      <c r="BN82" s="26"/>
      <c r="BO82" s="26"/>
      <c r="BP82" s="26"/>
      <c r="BQ82" s="26"/>
      <c r="BR82" s="26"/>
      <c r="BS82" s="26"/>
      <c r="BT82" s="26"/>
      <c r="BU82" s="26"/>
      <c r="BV82" s="26"/>
      <c r="BW82" s="26"/>
    </row>
    <row r="83" ht="18.0" customHeight="1">
      <c r="A83" s="38" t="s">
        <v>213</v>
      </c>
      <c r="B83" s="20" t="s">
        <v>214</v>
      </c>
      <c r="C83" s="21" t="s">
        <v>215</v>
      </c>
      <c r="D83" s="21" t="s">
        <v>52</v>
      </c>
      <c r="E83" s="21" t="s">
        <v>28</v>
      </c>
      <c r="F83" s="23">
        <v>4.0</v>
      </c>
      <c r="G83" s="24">
        <v>46321.0</v>
      </c>
      <c r="H83" s="24">
        <v>46321.0</v>
      </c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  <c r="AM83" s="26"/>
      <c r="AN83" s="26"/>
      <c r="AO83" s="26"/>
      <c r="AP83" s="26"/>
      <c r="AQ83" s="26"/>
      <c r="AR83" s="26"/>
      <c r="AS83" s="26"/>
      <c r="AT83" s="26"/>
      <c r="AU83" s="26"/>
      <c r="AV83" s="26"/>
      <c r="AW83" s="26"/>
      <c r="AX83" s="26"/>
      <c r="AY83" s="26"/>
      <c r="AZ83" s="26"/>
      <c r="BA83" s="26"/>
      <c r="BB83" s="26"/>
      <c r="BC83" s="26"/>
      <c r="BD83" s="26"/>
      <c r="BE83" s="26"/>
      <c r="BF83" s="26"/>
      <c r="BG83" s="39">
        <v>4.0</v>
      </c>
      <c r="BH83" s="26"/>
      <c r="BI83" s="26"/>
      <c r="BJ83" s="26"/>
      <c r="BK83" s="26"/>
      <c r="BL83" s="26"/>
      <c r="BM83" s="26"/>
      <c r="BN83" s="26"/>
      <c r="BO83" s="26"/>
      <c r="BP83" s="26"/>
      <c r="BQ83" s="26"/>
      <c r="BR83" s="26"/>
      <c r="BS83" s="26"/>
      <c r="BT83" s="26"/>
      <c r="BU83" s="26"/>
      <c r="BV83" s="26"/>
      <c r="BW83" s="26"/>
    </row>
    <row r="84" ht="18.0" customHeight="1">
      <c r="A84" s="38" t="s">
        <v>216</v>
      </c>
      <c r="B84" s="20" t="s">
        <v>217</v>
      </c>
      <c r="C84" s="21" t="s">
        <v>215</v>
      </c>
      <c r="D84" s="21" t="s">
        <v>63</v>
      </c>
      <c r="E84" s="21" t="s">
        <v>26</v>
      </c>
      <c r="F84" s="23">
        <v>8.0</v>
      </c>
      <c r="G84" s="24">
        <v>46321.0</v>
      </c>
      <c r="H84" s="24">
        <v>46321.0</v>
      </c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  <c r="AM84" s="26"/>
      <c r="AN84" s="26"/>
      <c r="AO84" s="26"/>
      <c r="AP84" s="26"/>
      <c r="AQ84" s="26"/>
      <c r="AR84" s="26"/>
      <c r="AS84" s="26"/>
      <c r="AT84" s="26"/>
      <c r="AU84" s="26"/>
      <c r="AV84" s="26"/>
      <c r="AW84" s="26"/>
      <c r="AX84" s="26"/>
      <c r="AY84" s="26"/>
      <c r="AZ84" s="26"/>
      <c r="BA84" s="26"/>
      <c r="BB84" s="26"/>
      <c r="BC84" s="26"/>
      <c r="BD84" s="26"/>
      <c r="BE84" s="26"/>
      <c r="BF84" s="26"/>
      <c r="BG84" s="39">
        <v>8.0</v>
      </c>
      <c r="BH84" s="26"/>
      <c r="BI84" s="26"/>
      <c r="BJ84" s="26"/>
      <c r="BK84" s="26"/>
      <c r="BL84" s="26"/>
      <c r="BM84" s="26"/>
      <c r="BN84" s="26"/>
      <c r="BO84" s="26"/>
      <c r="BP84" s="26"/>
      <c r="BQ84" s="26"/>
      <c r="BR84" s="26"/>
      <c r="BS84" s="26"/>
      <c r="BT84" s="26"/>
      <c r="BU84" s="26"/>
      <c r="BV84" s="26"/>
      <c r="BW84" s="26"/>
    </row>
    <row r="85" ht="18.0" customHeight="1">
      <c r="A85" s="38" t="s">
        <v>218</v>
      </c>
      <c r="B85" s="40" t="s">
        <v>219</v>
      </c>
      <c r="C85" s="21" t="s">
        <v>215</v>
      </c>
      <c r="D85" s="21" t="s">
        <v>63</v>
      </c>
      <c r="E85" s="21" t="s">
        <v>26</v>
      </c>
      <c r="F85" s="23">
        <v>10.0</v>
      </c>
      <c r="G85" s="24">
        <v>46322.0</v>
      </c>
      <c r="H85" s="24">
        <v>46323.0</v>
      </c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  <c r="AM85" s="26"/>
      <c r="AN85" s="26"/>
      <c r="AO85" s="26"/>
      <c r="AP85" s="26"/>
      <c r="AQ85" s="26"/>
      <c r="AR85" s="26"/>
      <c r="AS85" s="26"/>
      <c r="AT85" s="26"/>
      <c r="AU85" s="26"/>
      <c r="AV85" s="26"/>
      <c r="AW85" s="26"/>
      <c r="AX85" s="26"/>
      <c r="AY85" s="26"/>
      <c r="AZ85" s="26"/>
      <c r="BA85" s="26"/>
      <c r="BB85" s="26"/>
      <c r="BC85" s="26"/>
      <c r="BD85" s="26"/>
      <c r="BE85" s="26"/>
      <c r="BF85" s="26"/>
      <c r="BG85" s="26"/>
      <c r="BH85" s="39">
        <v>8.0</v>
      </c>
      <c r="BI85" s="39">
        <v>2.0</v>
      </c>
      <c r="BJ85" s="26"/>
      <c r="BK85" s="26"/>
      <c r="BL85" s="26"/>
      <c r="BM85" s="26"/>
      <c r="BN85" s="26"/>
      <c r="BO85" s="26"/>
      <c r="BP85" s="26"/>
      <c r="BQ85" s="26"/>
      <c r="BR85" s="26"/>
      <c r="BS85" s="26"/>
      <c r="BT85" s="26"/>
      <c r="BU85" s="26"/>
      <c r="BV85" s="26"/>
      <c r="BW85" s="26"/>
    </row>
    <row r="86" ht="18.0" customHeight="1">
      <c r="A86" s="38" t="s">
        <v>220</v>
      </c>
      <c r="B86" s="40" t="s">
        <v>221</v>
      </c>
      <c r="C86" s="21" t="s">
        <v>215</v>
      </c>
      <c r="D86" s="21" t="s">
        <v>63</v>
      </c>
      <c r="E86" s="21" t="s">
        <v>26</v>
      </c>
      <c r="F86" s="23">
        <v>10.0</v>
      </c>
      <c r="G86" s="24">
        <v>46323.0</v>
      </c>
      <c r="H86" s="24">
        <v>46324.0</v>
      </c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  <c r="AM86" s="26"/>
      <c r="AN86" s="26"/>
      <c r="AO86" s="26"/>
      <c r="AP86" s="26"/>
      <c r="AQ86" s="26"/>
      <c r="AR86" s="26"/>
      <c r="AS86" s="26"/>
      <c r="AT86" s="26"/>
      <c r="AU86" s="26"/>
      <c r="AV86" s="26"/>
      <c r="AW86" s="26"/>
      <c r="AX86" s="26"/>
      <c r="AY86" s="26"/>
      <c r="AZ86" s="26"/>
      <c r="BA86" s="26"/>
      <c r="BB86" s="26"/>
      <c r="BC86" s="26"/>
      <c r="BD86" s="26"/>
      <c r="BE86" s="26"/>
      <c r="BF86" s="26"/>
      <c r="BG86" s="26"/>
      <c r="BH86" s="26"/>
      <c r="BI86" s="39">
        <v>6.0</v>
      </c>
      <c r="BJ86" s="39">
        <v>4.0</v>
      </c>
      <c r="BK86" s="26"/>
      <c r="BL86" s="26"/>
      <c r="BM86" s="26"/>
      <c r="BN86" s="26"/>
      <c r="BO86" s="26"/>
      <c r="BP86" s="26"/>
      <c r="BQ86" s="26"/>
      <c r="BR86" s="26"/>
      <c r="BS86" s="26"/>
      <c r="BT86" s="26"/>
      <c r="BU86" s="26"/>
      <c r="BV86" s="26"/>
      <c r="BW86" s="26"/>
    </row>
    <row r="87" ht="18.0" customHeight="1">
      <c r="A87" s="38" t="s">
        <v>222</v>
      </c>
      <c r="B87" s="20" t="s">
        <v>223</v>
      </c>
      <c r="C87" s="21" t="s">
        <v>215</v>
      </c>
      <c r="D87" s="21" t="s">
        <v>63</v>
      </c>
      <c r="E87" s="21" t="s">
        <v>26</v>
      </c>
      <c r="F87" s="23">
        <v>7.0</v>
      </c>
      <c r="G87" s="24">
        <v>46324.0</v>
      </c>
      <c r="H87" s="24">
        <v>46325.0</v>
      </c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  <c r="AM87" s="26"/>
      <c r="AN87" s="26"/>
      <c r="AO87" s="26"/>
      <c r="AP87" s="26"/>
      <c r="AQ87" s="26"/>
      <c r="AR87" s="26"/>
      <c r="AS87" s="26"/>
      <c r="AT87" s="26"/>
      <c r="AU87" s="26"/>
      <c r="AV87" s="26"/>
      <c r="AW87" s="26"/>
      <c r="AX87" s="26"/>
      <c r="AY87" s="26"/>
      <c r="AZ87" s="26"/>
      <c r="BA87" s="26"/>
      <c r="BB87" s="26"/>
      <c r="BC87" s="26"/>
      <c r="BD87" s="26"/>
      <c r="BE87" s="26"/>
      <c r="BF87" s="26"/>
      <c r="BG87" s="26"/>
      <c r="BH87" s="26"/>
      <c r="BI87" s="26"/>
      <c r="BJ87" s="39">
        <v>4.0</v>
      </c>
      <c r="BK87" s="39">
        <v>3.0</v>
      </c>
      <c r="BL87" s="26"/>
      <c r="BM87" s="26"/>
      <c r="BN87" s="26"/>
      <c r="BO87" s="26"/>
      <c r="BP87" s="26"/>
      <c r="BQ87" s="26"/>
      <c r="BR87" s="26"/>
      <c r="BS87" s="26"/>
      <c r="BT87" s="26"/>
      <c r="BU87" s="26"/>
      <c r="BV87" s="26"/>
      <c r="BW87" s="26"/>
    </row>
    <row r="88" ht="30.0" customHeight="1">
      <c r="A88" s="38" t="s">
        <v>224</v>
      </c>
      <c r="B88" s="20" t="s">
        <v>225</v>
      </c>
      <c r="C88" s="21" t="s">
        <v>215</v>
      </c>
      <c r="D88" s="21" t="s">
        <v>63</v>
      </c>
      <c r="E88" s="21" t="s">
        <v>26</v>
      </c>
      <c r="F88" s="23">
        <v>8.0</v>
      </c>
      <c r="G88" s="24">
        <v>46325.0</v>
      </c>
      <c r="H88" s="24">
        <v>46328.0</v>
      </c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  <c r="AM88" s="26"/>
      <c r="AN88" s="26"/>
      <c r="AO88" s="26"/>
      <c r="AP88" s="26"/>
      <c r="AQ88" s="26"/>
      <c r="AR88" s="26"/>
      <c r="AS88" s="26"/>
      <c r="AT88" s="26"/>
      <c r="AU88" s="26"/>
      <c r="AV88" s="26"/>
      <c r="AW88" s="26"/>
      <c r="AX88" s="26"/>
      <c r="AY88" s="26"/>
      <c r="AZ88" s="26"/>
      <c r="BA88" s="26"/>
      <c r="BB88" s="26"/>
      <c r="BC88" s="26"/>
      <c r="BD88" s="26"/>
      <c r="BE88" s="26"/>
      <c r="BF88" s="26"/>
      <c r="BG88" s="26"/>
      <c r="BH88" s="26"/>
      <c r="BI88" s="26"/>
      <c r="BJ88" s="26"/>
      <c r="BK88" s="39">
        <v>5.0</v>
      </c>
      <c r="BL88" s="39">
        <v>3.0</v>
      </c>
      <c r="BM88" s="26"/>
      <c r="BN88" s="26"/>
      <c r="BO88" s="26"/>
      <c r="BP88" s="26"/>
      <c r="BQ88" s="26"/>
      <c r="BR88" s="26"/>
      <c r="BS88" s="26"/>
      <c r="BT88" s="26"/>
      <c r="BU88" s="26"/>
      <c r="BV88" s="26"/>
      <c r="BW88" s="26"/>
    </row>
    <row r="89" ht="18.0" customHeight="1">
      <c r="A89" s="38" t="s">
        <v>226</v>
      </c>
      <c r="B89" s="20" t="s">
        <v>227</v>
      </c>
      <c r="C89" s="21" t="s">
        <v>215</v>
      </c>
      <c r="D89" s="21" t="s">
        <v>77</v>
      </c>
      <c r="E89" s="21" t="s">
        <v>28</v>
      </c>
      <c r="F89" s="23">
        <v>6.0</v>
      </c>
      <c r="G89" s="24">
        <v>46321.0</v>
      </c>
      <c r="H89" s="24">
        <v>46322.0</v>
      </c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  <c r="AM89" s="26"/>
      <c r="AN89" s="26"/>
      <c r="AO89" s="26"/>
      <c r="AP89" s="26"/>
      <c r="AQ89" s="26"/>
      <c r="AR89" s="26"/>
      <c r="AS89" s="26"/>
      <c r="AT89" s="26"/>
      <c r="AU89" s="26"/>
      <c r="AV89" s="26"/>
      <c r="AW89" s="26"/>
      <c r="AX89" s="26"/>
      <c r="AY89" s="26"/>
      <c r="AZ89" s="26"/>
      <c r="BA89" s="26"/>
      <c r="BB89" s="26"/>
      <c r="BC89" s="26"/>
      <c r="BD89" s="26"/>
      <c r="BE89" s="26"/>
      <c r="BF89" s="26"/>
      <c r="BG89" s="39">
        <v>4.0</v>
      </c>
      <c r="BH89" s="39">
        <v>2.0</v>
      </c>
      <c r="BI89" s="26"/>
      <c r="BJ89" s="26"/>
      <c r="BK89" s="26"/>
      <c r="BL89" s="26"/>
      <c r="BM89" s="26"/>
      <c r="BN89" s="26"/>
      <c r="BO89" s="26"/>
      <c r="BP89" s="26"/>
      <c r="BQ89" s="26"/>
      <c r="BR89" s="26"/>
      <c r="BS89" s="26"/>
      <c r="BT89" s="26"/>
      <c r="BU89" s="26"/>
      <c r="BV89" s="26"/>
      <c r="BW89" s="26"/>
    </row>
    <row r="90" ht="18.0" customHeight="1">
      <c r="A90" s="38" t="s">
        <v>228</v>
      </c>
      <c r="B90" s="20" t="s">
        <v>229</v>
      </c>
      <c r="C90" s="21" t="s">
        <v>215</v>
      </c>
      <c r="D90" s="21" t="s">
        <v>71</v>
      </c>
      <c r="E90" s="21" t="s">
        <v>72</v>
      </c>
      <c r="F90" s="23">
        <v>5.0</v>
      </c>
      <c r="G90" s="24">
        <v>46321.0</v>
      </c>
      <c r="H90" s="24">
        <v>46321.0</v>
      </c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  <c r="AM90" s="26"/>
      <c r="AN90" s="26"/>
      <c r="AO90" s="26"/>
      <c r="AP90" s="26"/>
      <c r="AQ90" s="26"/>
      <c r="AR90" s="26"/>
      <c r="AS90" s="26"/>
      <c r="AT90" s="26"/>
      <c r="AU90" s="26"/>
      <c r="AV90" s="26"/>
      <c r="AW90" s="26"/>
      <c r="AX90" s="26"/>
      <c r="AY90" s="26"/>
      <c r="AZ90" s="26"/>
      <c r="BA90" s="26"/>
      <c r="BB90" s="26"/>
      <c r="BC90" s="26"/>
      <c r="BD90" s="26"/>
      <c r="BE90" s="26"/>
      <c r="BF90" s="26"/>
      <c r="BG90" s="39">
        <v>5.0</v>
      </c>
      <c r="BH90" s="26"/>
      <c r="BI90" s="26"/>
      <c r="BJ90" s="26"/>
      <c r="BK90" s="26"/>
      <c r="BL90" s="26"/>
      <c r="BM90" s="26"/>
      <c r="BN90" s="26"/>
      <c r="BO90" s="26"/>
      <c r="BP90" s="26"/>
      <c r="BQ90" s="26"/>
      <c r="BR90" s="26"/>
      <c r="BS90" s="26"/>
      <c r="BT90" s="26"/>
      <c r="BU90" s="26"/>
      <c r="BV90" s="26"/>
      <c r="BW90" s="26"/>
    </row>
    <row r="91" ht="18.0" customHeight="1">
      <c r="A91" s="38" t="s">
        <v>230</v>
      </c>
      <c r="B91" s="20" t="s">
        <v>231</v>
      </c>
      <c r="C91" s="21" t="s">
        <v>215</v>
      </c>
      <c r="D91" s="21" t="s">
        <v>68</v>
      </c>
      <c r="E91" s="21" t="s">
        <v>26</v>
      </c>
      <c r="F91" s="23">
        <v>5.0</v>
      </c>
      <c r="G91" s="24">
        <v>46328.0</v>
      </c>
      <c r="H91" s="24">
        <v>46328.0</v>
      </c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  <c r="AM91" s="26"/>
      <c r="AN91" s="26"/>
      <c r="AO91" s="26"/>
      <c r="AP91" s="26"/>
      <c r="AQ91" s="26"/>
      <c r="AR91" s="26"/>
      <c r="AS91" s="26"/>
      <c r="AT91" s="26"/>
      <c r="AU91" s="26"/>
      <c r="AV91" s="26"/>
      <c r="AW91" s="26"/>
      <c r="AX91" s="26"/>
      <c r="AY91" s="26"/>
      <c r="AZ91" s="26"/>
      <c r="BA91" s="26"/>
      <c r="BB91" s="26"/>
      <c r="BC91" s="26"/>
      <c r="BD91" s="26"/>
      <c r="BE91" s="26"/>
      <c r="BF91" s="26"/>
      <c r="BG91" s="26"/>
      <c r="BH91" s="26"/>
      <c r="BI91" s="26"/>
      <c r="BJ91" s="26"/>
      <c r="BK91" s="26"/>
      <c r="BL91" s="39">
        <v>5.0</v>
      </c>
      <c r="BM91" s="26"/>
      <c r="BN91" s="26"/>
      <c r="BO91" s="26"/>
      <c r="BP91" s="26"/>
      <c r="BQ91" s="26"/>
      <c r="BR91" s="26"/>
      <c r="BS91" s="26"/>
      <c r="BT91" s="26"/>
      <c r="BU91" s="26"/>
      <c r="BV91" s="26"/>
      <c r="BW91" s="26"/>
    </row>
    <row r="92" ht="18.0" customHeight="1">
      <c r="A92" s="41" t="s">
        <v>232</v>
      </c>
      <c r="B92" s="20" t="s">
        <v>233</v>
      </c>
      <c r="C92" s="21" t="s">
        <v>215</v>
      </c>
      <c r="D92" s="21" t="s">
        <v>77</v>
      </c>
      <c r="E92" s="21" t="s">
        <v>28</v>
      </c>
      <c r="F92" s="23">
        <v>5.0</v>
      </c>
      <c r="G92" s="24">
        <v>46322.0</v>
      </c>
      <c r="H92" s="24">
        <v>46322.0</v>
      </c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  <c r="AM92" s="26"/>
      <c r="AN92" s="26"/>
      <c r="AO92" s="26"/>
      <c r="AP92" s="26"/>
      <c r="AQ92" s="26"/>
      <c r="AR92" s="26"/>
      <c r="AS92" s="26"/>
      <c r="AT92" s="26"/>
      <c r="AU92" s="26"/>
      <c r="AV92" s="26"/>
      <c r="AW92" s="26"/>
      <c r="AX92" s="26"/>
      <c r="AY92" s="26"/>
      <c r="AZ92" s="26"/>
      <c r="BA92" s="26"/>
      <c r="BB92" s="26"/>
      <c r="BC92" s="26"/>
      <c r="BD92" s="26"/>
      <c r="BE92" s="26"/>
      <c r="BF92" s="26"/>
      <c r="BG92" s="26"/>
      <c r="BH92" s="42">
        <v>5.0</v>
      </c>
      <c r="BI92" s="26"/>
      <c r="BJ92" s="26"/>
      <c r="BK92" s="26"/>
      <c r="BL92" s="26"/>
      <c r="BM92" s="26"/>
      <c r="BN92" s="26"/>
      <c r="BO92" s="26"/>
      <c r="BP92" s="26"/>
      <c r="BQ92" s="26"/>
      <c r="BR92" s="26"/>
      <c r="BS92" s="26"/>
      <c r="BT92" s="26"/>
      <c r="BU92" s="26"/>
      <c r="BV92" s="26"/>
      <c r="BW92" s="26"/>
    </row>
    <row r="93" ht="18.0" customHeight="1">
      <c r="A93" s="41" t="s">
        <v>234</v>
      </c>
      <c r="B93" s="20" t="s">
        <v>235</v>
      </c>
      <c r="C93" s="21" t="s">
        <v>215</v>
      </c>
      <c r="D93" s="21" t="s">
        <v>63</v>
      </c>
      <c r="E93" s="21" t="s">
        <v>26</v>
      </c>
      <c r="F93" s="23">
        <v>7.0</v>
      </c>
      <c r="G93" s="24">
        <v>46329.0</v>
      </c>
      <c r="H93" s="24">
        <v>46329.0</v>
      </c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  <c r="AM93" s="26"/>
      <c r="AN93" s="26"/>
      <c r="AO93" s="26"/>
      <c r="AP93" s="26"/>
      <c r="AQ93" s="26"/>
      <c r="AR93" s="26"/>
      <c r="AS93" s="26"/>
      <c r="AT93" s="26"/>
      <c r="AU93" s="26"/>
      <c r="AV93" s="26"/>
      <c r="AW93" s="26"/>
      <c r="AX93" s="26"/>
      <c r="AY93" s="26"/>
      <c r="AZ93" s="26"/>
      <c r="BA93" s="26"/>
      <c r="BB93" s="26"/>
      <c r="BC93" s="26"/>
      <c r="BD93" s="26"/>
      <c r="BE93" s="26"/>
      <c r="BF93" s="26"/>
      <c r="BG93" s="26"/>
      <c r="BH93" s="26"/>
      <c r="BI93" s="26"/>
      <c r="BJ93" s="26"/>
      <c r="BK93" s="26"/>
      <c r="BL93" s="26"/>
      <c r="BM93" s="42">
        <v>7.0</v>
      </c>
      <c r="BN93" s="26"/>
      <c r="BO93" s="26"/>
      <c r="BP93" s="26"/>
      <c r="BQ93" s="26"/>
      <c r="BR93" s="26"/>
      <c r="BS93" s="26"/>
      <c r="BT93" s="26"/>
      <c r="BU93" s="26"/>
      <c r="BV93" s="26"/>
      <c r="BW93" s="26"/>
    </row>
    <row r="94" ht="18.0" customHeight="1">
      <c r="A94" s="41" t="s">
        <v>236</v>
      </c>
      <c r="B94" s="20" t="s">
        <v>237</v>
      </c>
      <c r="C94" s="21" t="s">
        <v>215</v>
      </c>
      <c r="D94" s="21" t="s">
        <v>63</v>
      </c>
      <c r="E94" s="21" t="s">
        <v>26</v>
      </c>
      <c r="F94" s="23">
        <v>7.0</v>
      </c>
      <c r="G94" s="24">
        <v>46329.0</v>
      </c>
      <c r="H94" s="24">
        <v>46330.0</v>
      </c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  <c r="AM94" s="26"/>
      <c r="AN94" s="26"/>
      <c r="AO94" s="26"/>
      <c r="AP94" s="26"/>
      <c r="AQ94" s="26"/>
      <c r="AR94" s="26"/>
      <c r="AS94" s="26"/>
      <c r="AT94" s="26"/>
      <c r="AU94" s="26"/>
      <c r="AV94" s="26"/>
      <c r="AW94" s="26"/>
      <c r="AX94" s="26"/>
      <c r="AY94" s="26"/>
      <c r="AZ94" s="26"/>
      <c r="BA94" s="26"/>
      <c r="BB94" s="26"/>
      <c r="BC94" s="26"/>
      <c r="BD94" s="26"/>
      <c r="BE94" s="26"/>
      <c r="BF94" s="26"/>
      <c r="BG94" s="26"/>
      <c r="BH94" s="26"/>
      <c r="BI94" s="26"/>
      <c r="BJ94" s="26"/>
      <c r="BK94" s="26"/>
      <c r="BL94" s="26"/>
      <c r="BM94" s="42">
        <v>1.0</v>
      </c>
      <c r="BN94" s="42">
        <v>6.0</v>
      </c>
      <c r="BO94" s="26"/>
      <c r="BP94" s="26"/>
      <c r="BQ94" s="26"/>
      <c r="BR94" s="26"/>
      <c r="BS94" s="26"/>
      <c r="BT94" s="26"/>
      <c r="BU94" s="26"/>
      <c r="BV94" s="26"/>
      <c r="BW94" s="26"/>
    </row>
    <row r="95" ht="18.0" customHeight="1">
      <c r="A95" s="41" t="s">
        <v>238</v>
      </c>
      <c r="B95" s="20" t="s">
        <v>239</v>
      </c>
      <c r="C95" s="21" t="s">
        <v>215</v>
      </c>
      <c r="D95" s="21" t="s">
        <v>68</v>
      </c>
      <c r="E95" s="21" t="s">
        <v>26</v>
      </c>
      <c r="F95" s="23">
        <v>7.0</v>
      </c>
      <c r="G95" s="24">
        <v>46330.0</v>
      </c>
      <c r="H95" s="24">
        <v>46331.0</v>
      </c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  <c r="AM95" s="26"/>
      <c r="AN95" s="26"/>
      <c r="AO95" s="26"/>
      <c r="AP95" s="26"/>
      <c r="AQ95" s="26"/>
      <c r="AR95" s="26"/>
      <c r="AS95" s="26"/>
      <c r="AT95" s="26"/>
      <c r="AU95" s="26"/>
      <c r="AV95" s="26"/>
      <c r="AW95" s="26"/>
      <c r="AX95" s="26"/>
      <c r="AY95" s="26"/>
      <c r="AZ95" s="26"/>
      <c r="BA95" s="26"/>
      <c r="BB95" s="26"/>
      <c r="BC95" s="26"/>
      <c r="BD95" s="26"/>
      <c r="BE95" s="26"/>
      <c r="BF95" s="26"/>
      <c r="BG95" s="26"/>
      <c r="BH95" s="26"/>
      <c r="BI95" s="26"/>
      <c r="BJ95" s="26"/>
      <c r="BK95" s="26"/>
      <c r="BL95" s="26"/>
      <c r="BM95" s="26"/>
      <c r="BN95" s="42">
        <v>2.0</v>
      </c>
      <c r="BO95" s="42">
        <v>5.0</v>
      </c>
      <c r="BP95" s="26"/>
      <c r="BQ95" s="26"/>
      <c r="BR95" s="26"/>
      <c r="BS95" s="26"/>
      <c r="BT95" s="26"/>
      <c r="BU95" s="26"/>
      <c r="BV95" s="26"/>
      <c r="BW95" s="26"/>
    </row>
    <row r="96" ht="18.0" customHeight="1">
      <c r="A96" s="41" t="s">
        <v>240</v>
      </c>
      <c r="B96" s="20" t="s">
        <v>241</v>
      </c>
      <c r="C96" s="21" t="s">
        <v>215</v>
      </c>
      <c r="D96" s="21" t="s">
        <v>71</v>
      </c>
      <c r="E96" s="21" t="s">
        <v>72</v>
      </c>
      <c r="F96" s="23">
        <v>5.0</v>
      </c>
      <c r="G96" s="24">
        <v>46321.0</v>
      </c>
      <c r="H96" s="24">
        <v>46322.0</v>
      </c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  <c r="AM96" s="26"/>
      <c r="AN96" s="26"/>
      <c r="AO96" s="26"/>
      <c r="AP96" s="26"/>
      <c r="AQ96" s="26"/>
      <c r="AR96" s="26"/>
      <c r="AS96" s="26"/>
      <c r="AT96" s="26"/>
      <c r="AU96" s="26"/>
      <c r="AV96" s="26"/>
      <c r="AW96" s="26"/>
      <c r="AX96" s="26"/>
      <c r="AY96" s="26"/>
      <c r="AZ96" s="26"/>
      <c r="BA96" s="26"/>
      <c r="BB96" s="26"/>
      <c r="BC96" s="26"/>
      <c r="BD96" s="26"/>
      <c r="BE96" s="26"/>
      <c r="BF96" s="26"/>
      <c r="BG96" s="42">
        <v>3.0</v>
      </c>
      <c r="BH96" s="42">
        <v>2.0</v>
      </c>
      <c r="BI96" s="26"/>
      <c r="BJ96" s="26"/>
      <c r="BK96" s="26"/>
      <c r="BL96" s="26"/>
      <c r="BM96" s="26"/>
      <c r="BN96" s="26"/>
      <c r="BO96" s="26"/>
      <c r="BP96" s="26"/>
      <c r="BQ96" s="26"/>
      <c r="BR96" s="26"/>
      <c r="BS96" s="26"/>
      <c r="BT96" s="26"/>
      <c r="BU96" s="26"/>
      <c r="BV96" s="26"/>
      <c r="BW96" s="26"/>
    </row>
    <row r="97" ht="18.0" customHeight="1">
      <c r="A97" s="41" t="s">
        <v>242</v>
      </c>
      <c r="B97" s="20" t="s">
        <v>243</v>
      </c>
      <c r="C97" s="21" t="s">
        <v>215</v>
      </c>
      <c r="D97" s="21" t="s">
        <v>63</v>
      </c>
      <c r="E97" s="21" t="s">
        <v>26</v>
      </c>
      <c r="F97" s="23">
        <v>6.0</v>
      </c>
      <c r="G97" s="24">
        <v>46331.0</v>
      </c>
      <c r="H97" s="24">
        <v>46332.0</v>
      </c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  <c r="AM97" s="26"/>
      <c r="AN97" s="26"/>
      <c r="AO97" s="26"/>
      <c r="AP97" s="26"/>
      <c r="AQ97" s="26"/>
      <c r="AR97" s="26"/>
      <c r="AS97" s="26"/>
      <c r="AT97" s="26"/>
      <c r="AU97" s="26"/>
      <c r="AV97" s="26"/>
      <c r="AW97" s="26"/>
      <c r="AX97" s="26"/>
      <c r="AY97" s="26"/>
      <c r="AZ97" s="26"/>
      <c r="BA97" s="26"/>
      <c r="BB97" s="26"/>
      <c r="BC97" s="26"/>
      <c r="BD97" s="26"/>
      <c r="BE97" s="26"/>
      <c r="BF97" s="26"/>
      <c r="BG97" s="26"/>
      <c r="BH97" s="26"/>
      <c r="BI97" s="26"/>
      <c r="BJ97" s="26"/>
      <c r="BK97" s="26"/>
      <c r="BL97" s="26"/>
      <c r="BM97" s="26"/>
      <c r="BN97" s="26"/>
      <c r="BO97" s="42">
        <v>3.0</v>
      </c>
      <c r="BP97" s="42">
        <v>3.0</v>
      </c>
      <c r="BQ97" s="26"/>
      <c r="BR97" s="26"/>
      <c r="BS97" s="26"/>
      <c r="BT97" s="26"/>
      <c r="BU97" s="26"/>
      <c r="BV97" s="26"/>
      <c r="BW97" s="26"/>
    </row>
    <row r="98" ht="18.0" customHeight="1">
      <c r="A98" s="41" t="s">
        <v>244</v>
      </c>
      <c r="B98" s="20" t="s">
        <v>245</v>
      </c>
      <c r="C98" s="21" t="s">
        <v>215</v>
      </c>
      <c r="D98" s="21" t="s">
        <v>63</v>
      </c>
      <c r="E98" s="21" t="s">
        <v>26</v>
      </c>
      <c r="F98" s="23">
        <v>5.0</v>
      </c>
      <c r="G98" s="24">
        <v>46332.0</v>
      </c>
      <c r="H98" s="24">
        <v>46332.0</v>
      </c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  <c r="AM98" s="26"/>
      <c r="AN98" s="26"/>
      <c r="AO98" s="26"/>
      <c r="AP98" s="26"/>
      <c r="AQ98" s="26"/>
      <c r="AR98" s="26"/>
      <c r="AS98" s="26"/>
      <c r="AT98" s="26"/>
      <c r="AU98" s="26"/>
      <c r="AV98" s="26"/>
      <c r="AW98" s="26"/>
      <c r="AX98" s="26"/>
      <c r="AY98" s="26"/>
      <c r="AZ98" s="26"/>
      <c r="BA98" s="26"/>
      <c r="BB98" s="26"/>
      <c r="BC98" s="26"/>
      <c r="BD98" s="26"/>
      <c r="BE98" s="26"/>
      <c r="BF98" s="26"/>
      <c r="BG98" s="26"/>
      <c r="BH98" s="26"/>
      <c r="BI98" s="26"/>
      <c r="BJ98" s="26"/>
      <c r="BK98" s="26"/>
      <c r="BL98" s="26"/>
      <c r="BM98" s="26"/>
      <c r="BN98" s="26"/>
      <c r="BO98" s="26"/>
      <c r="BP98" s="42">
        <v>5.0</v>
      </c>
      <c r="BQ98" s="26"/>
      <c r="BR98" s="26"/>
      <c r="BS98" s="26"/>
      <c r="BT98" s="26"/>
      <c r="BU98" s="26"/>
      <c r="BV98" s="26"/>
      <c r="BW98" s="26"/>
    </row>
    <row r="99" ht="18.0" customHeight="1">
      <c r="A99" s="41" t="s">
        <v>246</v>
      </c>
      <c r="B99" s="20" t="s">
        <v>241</v>
      </c>
      <c r="C99" s="21" t="s">
        <v>215</v>
      </c>
      <c r="D99" s="21" t="s">
        <v>71</v>
      </c>
      <c r="E99" s="21" t="s">
        <v>72</v>
      </c>
      <c r="F99" s="23">
        <v>4.0</v>
      </c>
      <c r="G99" s="24">
        <v>46322.0</v>
      </c>
      <c r="H99" s="24">
        <v>46322.0</v>
      </c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  <c r="AM99" s="26"/>
      <c r="AN99" s="26"/>
      <c r="AO99" s="26"/>
      <c r="AP99" s="26"/>
      <c r="AQ99" s="26"/>
      <c r="AR99" s="26"/>
      <c r="AS99" s="26"/>
      <c r="AT99" s="26"/>
      <c r="AU99" s="26"/>
      <c r="AV99" s="26"/>
      <c r="AW99" s="26"/>
      <c r="AX99" s="26"/>
      <c r="AY99" s="26"/>
      <c r="AZ99" s="26"/>
      <c r="BA99" s="26"/>
      <c r="BB99" s="26"/>
      <c r="BC99" s="26"/>
      <c r="BD99" s="26"/>
      <c r="BE99" s="26"/>
      <c r="BF99" s="26"/>
      <c r="BG99" s="26"/>
      <c r="BH99" s="42">
        <v>4.0</v>
      </c>
      <c r="BI99" s="26"/>
      <c r="BJ99" s="26"/>
      <c r="BK99" s="26"/>
      <c r="BL99" s="26"/>
      <c r="BM99" s="26"/>
      <c r="BN99" s="26"/>
      <c r="BO99" s="26"/>
      <c r="BP99" s="26"/>
      <c r="BQ99" s="26"/>
      <c r="BR99" s="26"/>
      <c r="BS99" s="26"/>
      <c r="BT99" s="26"/>
      <c r="BU99" s="26"/>
      <c r="BV99" s="26"/>
      <c r="BW99" s="26"/>
    </row>
    <row r="100" ht="30.0" customHeight="1">
      <c r="A100" s="43" t="s">
        <v>247</v>
      </c>
      <c r="B100" s="20" t="s">
        <v>248</v>
      </c>
      <c r="C100" s="21" t="s">
        <v>50</v>
      </c>
      <c r="D100" s="21" t="s">
        <v>249</v>
      </c>
      <c r="E100" s="21" t="s">
        <v>59</v>
      </c>
      <c r="F100" s="23">
        <v>25.0</v>
      </c>
      <c r="G100" s="24">
        <v>46335.0</v>
      </c>
      <c r="H100" s="24">
        <v>46337.0</v>
      </c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  <c r="AM100" s="26"/>
      <c r="AN100" s="26"/>
      <c r="AO100" s="26"/>
      <c r="AP100" s="26"/>
      <c r="AQ100" s="26"/>
      <c r="AR100" s="26"/>
      <c r="AS100" s="26"/>
      <c r="AT100" s="26"/>
      <c r="AU100" s="26"/>
      <c r="AV100" s="26"/>
      <c r="AW100" s="26"/>
      <c r="AX100" s="26"/>
      <c r="AY100" s="26"/>
      <c r="AZ100" s="26"/>
      <c r="BA100" s="26"/>
      <c r="BB100" s="26"/>
      <c r="BC100" s="26"/>
      <c r="BD100" s="26"/>
      <c r="BE100" s="26"/>
      <c r="BF100" s="26"/>
      <c r="BG100" s="26"/>
      <c r="BH100" s="26"/>
      <c r="BI100" s="26"/>
      <c r="BJ100" s="26"/>
      <c r="BK100" s="26"/>
      <c r="BL100" s="26"/>
      <c r="BM100" s="26"/>
      <c r="BN100" s="26"/>
      <c r="BO100" s="26"/>
      <c r="BP100" s="26"/>
      <c r="BQ100" s="44">
        <v>15.0</v>
      </c>
      <c r="BR100" s="44">
        <v>8.0</v>
      </c>
      <c r="BS100" s="44">
        <v>2.0</v>
      </c>
      <c r="BT100" s="26"/>
      <c r="BU100" s="26"/>
      <c r="BV100" s="26"/>
      <c r="BW100" s="26"/>
    </row>
    <row r="101" ht="18.0" customHeight="1">
      <c r="A101" s="43" t="s">
        <v>247</v>
      </c>
      <c r="B101" s="20" t="s">
        <v>250</v>
      </c>
      <c r="C101" s="21" t="s">
        <v>50</v>
      </c>
      <c r="D101" s="21" t="s">
        <v>251</v>
      </c>
      <c r="E101" s="21" t="s">
        <v>59</v>
      </c>
      <c r="F101" s="23">
        <v>29.0</v>
      </c>
      <c r="G101" s="24">
        <v>46337.0</v>
      </c>
      <c r="H101" s="24">
        <v>46338.0</v>
      </c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  <c r="AM101" s="26"/>
      <c r="AN101" s="26"/>
      <c r="AO101" s="26"/>
      <c r="AP101" s="26"/>
      <c r="AQ101" s="26"/>
      <c r="AR101" s="26"/>
      <c r="AS101" s="26"/>
      <c r="AT101" s="26"/>
      <c r="AU101" s="26"/>
      <c r="AV101" s="26"/>
      <c r="AW101" s="26"/>
      <c r="AX101" s="26"/>
      <c r="AY101" s="26"/>
      <c r="AZ101" s="26"/>
      <c r="BA101" s="26"/>
      <c r="BB101" s="26"/>
      <c r="BC101" s="26"/>
      <c r="BD101" s="26"/>
      <c r="BE101" s="26"/>
      <c r="BF101" s="26"/>
      <c r="BG101" s="26"/>
      <c r="BH101" s="26"/>
      <c r="BI101" s="26"/>
      <c r="BJ101" s="26"/>
      <c r="BK101" s="26"/>
      <c r="BL101" s="26"/>
      <c r="BM101" s="26"/>
      <c r="BN101" s="26"/>
      <c r="BO101" s="26"/>
      <c r="BP101" s="26"/>
      <c r="BQ101" s="26"/>
      <c r="BR101" s="26"/>
      <c r="BS101" s="44">
        <v>19.0</v>
      </c>
      <c r="BT101" s="44">
        <v>10.0</v>
      </c>
      <c r="BU101" s="26"/>
      <c r="BV101" s="26"/>
      <c r="BW101" s="26"/>
    </row>
    <row r="102" ht="30.0" customHeight="1">
      <c r="A102" s="43" t="s">
        <v>247</v>
      </c>
      <c r="B102" s="20" t="s">
        <v>252</v>
      </c>
      <c r="C102" s="21" t="s">
        <v>50</v>
      </c>
      <c r="D102" s="21" t="s">
        <v>253</v>
      </c>
      <c r="E102" s="21" t="s">
        <v>59</v>
      </c>
      <c r="F102" s="23">
        <v>25.0</v>
      </c>
      <c r="G102" s="24">
        <v>46338.0</v>
      </c>
      <c r="H102" s="24">
        <v>46343.0</v>
      </c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  <c r="AM102" s="26"/>
      <c r="AN102" s="26"/>
      <c r="AO102" s="26"/>
      <c r="AP102" s="26"/>
      <c r="AQ102" s="26"/>
      <c r="AR102" s="26"/>
      <c r="AS102" s="26"/>
      <c r="AT102" s="26"/>
      <c r="AU102" s="26"/>
      <c r="AV102" s="26"/>
      <c r="AW102" s="26"/>
      <c r="AX102" s="26"/>
      <c r="AY102" s="26"/>
      <c r="AZ102" s="26"/>
      <c r="BA102" s="26"/>
      <c r="BB102" s="26"/>
      <c r="BC102" s="26"/>
      <c r="BD102" s="26"/>
      <c r="BE102" s="26"/>
      <c r="BF102" s="26"/>
      <c r="BG102" s="26"/>
      <c r="BH102" s="26"/>
      <c r="BI102" s="26"/>
      <c r="BJ102" s="26"/>
      <c r="BK102" s="26"/>
      <c r="BL102" s="26"/>
      <c r="BM102" s="26"/>
      <c r="BN102" s="26"/>
      <c r="BO102" s="26"/>
      <c r="BP102" s="26"/>
      <c r="BQ102" s="26"/>
      <c r="BR102" s="26"/>
      <c r="BS102" s="26"/>
      <c r="BT102" s="44">
        <v>6.0</v>
      </c>
      <c r="BU102" s="44">
        <v>8.0</v>
      </c>
      <c r="BV102" s="44">
        <v>8.0</v>
      </c>
      <c r="BW102" s="44">
        <v>3.0</v>
      </c>
    </row>
    <row r="103" ht="15.75" customHeight="1">
      <c r="A103" s="45"/>
      <c r="B103" s="45" t="s">
        <v>254</v>
      </c>
      <c r="C103" s="45"/>
      <c r="D103" s="45"/>
      <c r="E103" s="45"/>
      <c r="F103" s="46">
        <f>SUM(F5:F102)</f>
        <v>584</v>
      </c>
      <c r="G103" s="45"/>
      <c r="H103" s="45"/>
      <c r="I103" s="25">
        <f t="shared" ref="I103:BW103" si="1">SUM(I5:I102)</f>
        <v>10</v>
      </c>
      <c r="J103" s="25">
        <f t="shared" si="1"/>
        <v>20</v>
      </c>
      <c r="K103" s="25">
        <f t="shared" si="1"/>
        <v>6</v>
      </c>
      <c r="L103" s="25">
        <f t="shared" si="1"/>
        <v>0</v>
      </c>
      <c r="M103" s="25">
        <f t="shared" si="1"/>
        <v>0</v>
      </c>
      <c r="N103" s="25">
        <f t="shared" si="1"/>
        <v>0</v>
      </c>
      <c r="O103" s="25">
        <f t="shared" si="1"/>
        <v>0</v>
      </c>
      <c r="P103" s="25">
        <f t="shared" si="1"/>
        <v>0</v>
      </c>
      <c r="Q103" s="25">
        <f t="shared" si="1"/>
        <v>0</v>
      </c>
      <c r="R103" s="25">
        <f t="shared" si="1"/>
        <v>0</v>
      </c>
      <c r="S103" s="25">
        <f t="shared" si="1"/>
        <v>24</v>
      </c>
      <c r="T103" s="25">
        <f t="shared" si="1"/>
        <v>22</v>
      </c>
      <c r="U103" s="25">
        <f t="shared" si="1"/>
        <v>12</v>
      </c>
      <c r="V103" s="25">
        <f t="shared" si="1"/>
        <v>8</v>
      </c>
      <c r="W103" s="25">
        <f t="shared" si="1"/>
        <v>8</v>
      </c>
      <c r="X103" s="25">
        <f t="shared" si="1"/>
        <v>8</v>
      </c>
      <c r="Y103" s="25">
        <f t="shared" si="1"/>
        <v>8</v>
      </c>
      <c r="Z103" s="25">
        <f t="shared" si="1"/>
        <v>8</v>
      </c>
      <c r="AA103" s="25">
        <f t="shared" si="1"/>
        <v>7</v>
      </c>
      <c r="AB103" s="25">
        <f t="shared" si="1"/>
        <v>0</v>
      </c>
      <c r="AC103" s="25">
        <f t="shared" si="1"/>
        <v>24</v>
      </c>
      <c r="AD103" s="25">
        <f t="shared" si="1"/>
        <v>16</v>
      </c>
      <c r="AE103" s="25">
        <f t="shared" si="1"/>
        <v>16</v>
      </c>
      <c r="AF103" s="25">
        <f t="shared" si="1"/>
        <v>14</v>
      </c>
      <c r="AG103" s="25">
        <f t="shared" si="1"/>
        <v>7</v>
      </c>
      <c r="AH103" s="25">
        <f t="shared" si="1"/>
        <v>0</v>
      </c>
      <c r="AI103" s="25">
        <f t="shared" si="1"/>
        <v>0</v>
      </c>
      <c r="AJ103" s="25">
        <f t="shared" si="1"/>
        <v>0</v>
      </c>
      <c r="AK103" s="25">
        <f t="shared" si="1"/>
        <v>0</v>
      </c>
      <c r="AL103" s="25">
        <f t="shared" si="1"/>
        <v>0</v>
      </c>
      <c r="AM103" s="25">
        <f t="shared" si="1"/>
        <v>24</v>
      </c>
      <c r="AN103" s="25">
        <f t="shared" si="1"/>
        <v>24</v>
      </c>
      <c r="AO103" s="25">
        <f t="shared" si="1"/>
        <v>18</v>
      </c>
      <c r="AP103" s="25">
        <f t="shared" si="1"/>
        <v>16</v>
      </c>
      <c r="AQ103" s="25">
        <f t="shared" si="1"/>
        <v>9</v>
      </c>
      <c r="AR103" s="25">
        <f t="shared" si="1"/>
        <v>3</v>
      </c>
      <c r="AS103" s="25">
        <f t="shared" si="1"/>
        <v>0</v>
      </c>
      <c r="AT103" s="25">
        <f t="shared" si="1"/>
        <v>0</v>
      </c>
      <c r="AU103" s="25">
        <f t="shared" si="1"/>
        <v>0</v>
      </c>
      <c r="AV103" s="25">
        <f t="shared" si="1"/>
        <v>0</v>
      </c>
      <c r="AW103" s="25">
        <f t="shared" si="1"/>
        <v>24</v>
      </c>
      <c r="AX103" s="25">
        <f t="shared" si="1"/>
        <v>24</v>
      </c>
      <c r="AY103" s="25">
        <f t="shared" si="1"/>
        <v>8</v>
      </c>
      <c r="AZ103" s="25">
        <f t="shared" si="1"/>
        <v>8</v>
      </c>
      <c r="BA103" s="25">
        <f t="shared" si="1"/>
        <v>8</v>
      </c>
      <c r="BB103" s="25">
        <f t="shared" si="1"/>
        <v>8</v>
      </c>
      <c r="BC103" s="25">
        <f t="shared" si="1"/>
        <v>4</v>
      </c>
      <c r="BD103" s="25">
        <f t="shared" si="1"/>
        <v>0</v>
      </c>
      <c r="BE103" s="25">
        <f t="shared" si="1"/>
        <v>0</v>
      </c>
      <c r="BF103" s="25">
        <f t="shared" si="1"/>
        <v>0</v>
      </c>
      <c r="BG103" s="25">
        <f t="shared" si="1"/>
        <v>24</v>
      </c>
      <c r="BH103" s="25">
        <f t="shared" si="1"/>
        <v>21</v>
      </c>
      <c r="BI103" s="25">
        <f t="shared" si="1"/>
        <v>8</v>
      </c>
      <c r="BJ103" s="25">
        <f t="shared" si="1"/>
        <v>8</v>
      </c>
      <c r="BK103" s="25">
        <f t="shared" si="1"/>
        <v>8</v>
      </c>
      <c r="BL103" s="25">
        <f t="shared" si="1"/>
        <v>8</v>
      </c>
      <c r="BM103" s="25">
        <f t="shared" si="1"/>
        <v>8</v>
      </c>
      <c r="BN103" s="25">
        <f t="shared" si="1"/>
        <v>8</v>
      </c>
      <c r="BO103" s="25">
        <f t="shared" si="1"/>
        <v>8</v>
      </c>
      <c r="BP103" s="25">
        <f t="shared" si="1"/>
        <v>8</v>
      </c>
      <c r="BQ103" s="25">
        <f t="shared" si="1"/>
        <v>15</v>
      </c>
      <c r="BR103" s="25">
        <f t="shared" si="1"/>
        <v>8</v>
      </c>
      <c r="BS103" s="25">
        <f t="shared" si="1"/>
        <v>21</v>
      </c>
      <c r="BT103" s="25">
        <f t="shared" si="1"/>
        <v>16</v>
      </c>
      <c r="BU103" s="25">
        <f t="shared" si="1"/>
        <v>8</v>
      </c>
      <c r="BV103" s="25">
        <f t="shared" si="1"/>
        <v>8</v>
      </c>
      <c r="BW103" s="25">
        <f t="shared" si="1"/>
        <v>3</v>
      </c>
    </row>
    <row r="104" ht="15.75" customHeight="1"/>
    <row r="105" ht="15.75" customHeight="1">
      <c r="B105" s="47" t="s">
        <v>255</v>
      </c>
      <c r="F105" s="48">
        <v>469.0</v>
      </c>
      <c r="I105" s="22" t="s">
        <v>256</v>
      </c>
    </row>
    <row r="106" ht="15.75" customHeight="1">
      <c r="B106" s="49" t="s">
        <v>257</v>
      </c>
      <c r="F106" s="50">
        <v>115.0</v>
      </c>
      <c r="I106" s="51" t="s">
        <v>258</v>
      </c>
      <c r="J106" s="52" t="s">
        <v>259</v>
      </c>
      <c r="K106" s="53" t="s">
        <v>260</v>
      </c>
      <c r="L106" s="54" t="s">
        <v>261</v>
      </c>
      <c r="M106" s="55" t="s">
        <v>262</v>
      </c>
      <c r="N106" s="56" t="s">
        <v>263</v>
      </c>
      <c r="O106" s="57" t="s">
        <v>264</v>
      </c>
      <c r="P106" s="58" t="s">
        <v>48</v>
      </c>
      <c r="Q106" s="59" t="s">
        <v>50</v>
      </c>
    </row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4:$H$102"/>
  <mergeCells count="2">
    <mergeCell ref="A1:H1"/>
    <mergeCell ref="A2:H2"/>
  </mergeCells>
  <printOptions/>
  <pageMargins bottom="0.5" footer="0.0" header="0.0" left="0.4" right="0.4" top="0.6"/>
  <pageSetup fitToHeight="0" paperSize="3" orientation="landscape"/>
  <headerFooter>
    <oddFooter>&amp;LHaircut Home Studio&amp;RGantt Excel — mismas horas que el EDT y el PDF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2026-09-30T08:58:01Z</dcterms:created>
  <dc:creator>openpyxl</dc:creator>
</cp:coreProperties>
</file>