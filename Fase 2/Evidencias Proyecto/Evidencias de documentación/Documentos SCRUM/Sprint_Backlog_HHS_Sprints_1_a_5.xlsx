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vo" sheetId="1" r:id="rId4"/>
    <sheet state="visible" name="Sprint 1" sheetId="2" r:id="rId5"/>
    <sheet state="visible" name="Sprint 2" sheetId="3" r:id="rId6"/>
    <sheet state="visible" name="Sprint 3" sheetId="4" r:id="rId7"/>
    <sheet state="visible" name="Sprint 4" sheetId="5" r:id="rId8"/>
    <sheet state="visible" name="Sprint 5" sheetId="6" r:id="rId9"/>
  </sheets>
  <definedNames/>
  <calcPr/>
  <extLst>
    <ext uri="GoogleSheetsCustomDataVersion2">
      <go:sheetsCustomData xmlns:go="http://customooxmlschemas.google.com/" r:id="rId10" roundtripDataChecksum="EyatEB6ZIhGllHLsjvT+ncTLMa/FZlw05QozY8dRubU="/>
    </ext>
  </extLst>
</workbook>
</file>

<file path=xl/sharedStrings.xml><?xml version="1.0" encoding="utf-8"?>
<sst xmlns="http://schemas.openxmlformats.org/spreadsheetml/2006/main" count="573" uniqueCount="266">
  <si>
    <t>Cómo leer el sprint backlog</t>
  </si>
  <si>
    <t>Sprint backlog — Sprint 1</t>
  </si>
  <si>
    <t>Sprint backlog — Sprint 3</t>
  </si>
  <si>
    <t>Sprint backlog — Sprint 2</t>
  </si>
  <si>
    <t>Cada fila es una tarea del PDF Tareas x HU, con el mismo identificador y las mismas horas.</t>
  </si>
  <si>
    <t>Las historias siguen en el sprint en que ya estaban: la reserva base y la vista del peluquero en el sprint 1; el recomendador, el calendario, la vitrina y las reseñas en el sprint 2; la cuenta, la sesión, el perfil y el acerca de en el sprint 3; el admin, las cuotas y el historial de IA en el sprint 4; la simulación de IA y WhatsApp en el sprint 5.</t>
  </si>
  <si>
    <t>E06 (WhatsApp) entra con las 46 h del PDF. La versión anterior lo marcaba opcional y le asignaba 24 h.</t>
  </si>
  <si>
    <t>HHS  ·  31/08/2026 – 13/09/2026  ·  105 h  ·  tareas del PDF, una fila por tarea  ·  estatus de planificación: Por iniciar</t>
  </si>
  <si>
    <t>HHS  ·  28/09/2026 – 11/10/2026  ·  94 h  ·  tareas del PDF, una fila por tarea  ·  estatus de planificación: Por iniciar</t>
  </si>
  <si>
    <t>HHS  ·  14/09/2026 – 27/09/2026  ·  77 h  ·  tareas del PDF, una fila por tarea  ·  estatus de planificación: Por iniciar</t>
  </si>
  <si>
    <t>E07-HU01-T04 no tiene nombre en el PDF. La fila conserva las 10 h y lo dice en el texto.</t>
  </si>
  <si>
    <t>ID historia</t>
  </si>
  <si>
    <t>Dueño: programador y base de datos, Nicolas Carmona; diseño y jefatura, Rosa Garrido; pruebas y análisis, Mateo Alvarez. Una persona hace a lo más 8 h en un día hábil.</t>
  </si>
  <si>
    <t>Consumo es la hora planificada de ese día. Resta es lo que falta de esa tarea después del día. Al cerrar el sprint, la resta final de cada tarea queda en 0.</t>
  </si>
  <si>
    <t>El estatus queda en Por iniciar: este documento es el plan, no un registro de trabajo ya hecho.</t>
  </si>
  <si>
    <t>El 18/09 es feriado (Independencia Nacional) y aun así está dentro de los 10 días del sprint 2, igual que el burndown anterior contaba 10 días hábiles.</t>
  </si>
  <si>
    <t>Enunciado</t>
  </si>
  <si>
    <t>ID tarea</t>
  </si>
  <si>
    <t>Tarea</t>
  </si>
  <si>
    <t>Dueño</t>
  </si>
  <si>
    <t>Estatus</t>
  </si>
  <si>
    <t>Horas</t>
  </si>
  <si>
    <t>Día 1</t>
  </si>
  <si>
    <t>Día 2</t>
  </si>
  <si>
    <t>Día 3</t>
  </si>
  <si>
    <t>Día 4</t>
  </si>
  <si>
    <t>Día 5</t>
  </si>
  <si>
    <t>Día 6</t>
  </si>
  <si>
    <t>Día 7</t>
  </si>
  <si>
    <t>Día 8</t>
  </si>
  <si>
    <t>Día 9</t>
  </si>
  <si>
    <t>Día 10</t>
  </si>
  <si>
    <t>Consumo</t>
  </si>
  <si>
    <t>Resta final</t>
  </si>
  <si>
    <t>Resta</t>
  </si>
  <si>
    <t>E01-HU01</t>
  </si>
  <si>
    <t>Reserva de una hora de atención.</t>
  </si>
  <si>
    <t>E01-HU01-T01</t>
  </si>
  <si>
    <t>E01-HU02</t>
  </si>
  <si>
    <t>Reserva de hora (bloqueo temporal)</t>
  </si>
  <si>
    <t>Recomendación de la mejor hora para reservar.</t>
  </si>
  <si>
    <t>Nicolas Carmona</t>
  </si>
  <si>
    <t>E01-HU02-T01</t>
  </si>
  <si>
    <t>Finalizado</t>
  </si>
  <si>
    <t>Identificación de la mejor hora del día dependiendo del servicio elegido</t>
  </si>
  <si>
    <t>E03-HU01</t>
  </si>
  <si>
    <t>Creación de una cuenta de usuario.</t>
  </si>
  <si>
    <t>E03-HU01-T01</t>
  </si>
  <si>
    <t>Creación de inputs para las credenciales y datos del usuario</t>
  </si>
  <si>
    <t>Rosa Garrido</t>
  </si>
  <si>
    <t>Sprint backlog — Sprint 4</t>
  </si>
  <si>
    <t>HHS  ·  12/10/2026 – 25/10/2026  ·  84 h  ·  tareas del PDF, una fila por tarea  ·  estatus de planificación: Por iniciar</t>
  </si>
  <si>
    <t>E04-HU01</t>
  </si>
  <si>
    <t>Administración de las categorías del catálogo.</t>
  </si>
  <si>
    <t>E04-HU01-T01</t>
  </si>
  <si>
    <t>Edición de categorías</t>
  </si>
  <si>
    <t>Por iniciar</t>
  </si>
  <si>
    <t>E01-HU01-T02</t>
  </si>
  <si>
    <t>Crear mensaje de confirmación de hora</t>
  </si>
  <si>
    <t>E03-HU01-T02</t>
  </si>
  <si>
    <t>Definir y aplicar politica de creación de contraseña</t>
  </si>
  <si>
    <t>E01-HU02-T02</t>
  </si>
  <si>
    <t>Identificación del mejor día de la semana dependiendo del servicio elegido</t>
  </si>
  <si>
    <t>E01-HU01-T03</t>
  </si>
  <si>
    <t>Agenda de hora (registro en la bbdd)</t>
  </si>
  <si>
    <t>E04-HU01-T02</t>
  </si>
  <si>
    <t>E01-HU02-T03</t>
  </si>
  <si>
    <t>Registro de edición de la categoría</t>
  </si>
  <si>
    <t>Identificación de la mejor semana o mes dependiendo del servicio elegido</t>
  </si>
  <si>
    <t>E03-HU01-T03</t>
  </si>
  <si>
    <t>Verificación de correo (activación y validez)</t>
  </si>
  <si>
    <t>E01-HU01-T04</t>
  </si>
  <si>
    <t>Verificar reserva en la bbdd</t>
  </si>
  <si>
    <t>Mateo Alvarez</t>
  </si>
  <si>
    <t>E01-HU03</t>
  </si>
  <si>
    <t>Calendario con las horas disponibles.</t>
  </si>
  <si>
    <t>E01-HU03-T01</t>
  </si>
  <si>
    <t>E04-HU01-T03</t>
  </si>
  <si>
    <t>Contruir calendario</t>
  </si>
  <si>
    <t>Validación del cambio en bbdd</t>
  </si>
  <si>
    <t>E02-HU01</t>
  </si>
  <si>
    <t>Revisión de las horas agendadas.</t>
  </si>
  <si>
    <t>E02-HU01-T01</t>
  </si>
  <si>
    <t>Consultar las reservas existentes</t>
  </si>
  <si>
    <t>E03-HU01-T04</t>
  </si>
  <si>
    <t>Validar correo duplicado.</t>
  </si>
  <si>
    <t>E04-HU02</t>
  </si>
  <si>
    <t>Gestión de los servicios de la peluquería.</t>
  </si>
  <si>
    <t>E04-HU02-T01</t>
  </si>
  <si>
    <t>Edición de servicios</t>
  </si>
  <si>
    <t>E01-HU03-T02</t>
  </si>
  <si>
    <t>Mostrar horas agendadas y disponibles dependiendo del horario de trabajo, mostrando su duración</t>
  </si>
  <si>
    <t>E02-HU01-T02</t>
  </si>
  <si>
    <t>Revisar calendario con leyenda</t>
  </si>
  <si>
    <t>E03-HU02</t>
  </si>
  <si>
    <t>Inicio de sesión en el sistema.</t>
  </si>
  <si>
    <t>E04-HU02-T02</t>
  </si>
  <si>
    <t>E03-HU02-T01</t>
  </si>
  <si>
    <t>Registro de edición de servicio</t>
  </si>
  <si>
    <t>Creación de inputs (correo, contraseña)</t>
  </si>
  <si>
    <t>E04-HU02-T03</t>
  </si>
  <si>
    <t>E01-HU03-T03</t>
  </si>
  <si>
    <t>Mostrar horas deshabilitadas</t>
  </si>
  <si>
    <t>E02-HU01-T03</t>
  </si>
  <si>
    <t>Mostrar detalles básicos (cliente, hora y servicio) de la reserva</t>
  </si>
  <si>
    <t>E03-HU02-T02</t>
  </si>
  <si>
    <t>Validación de correo (verifica que haya un usuario con dicho correo)</t>
  </si>
  <si>
    <t>E04-HU03</t>
  </si>
  <si>
    <t>Gestión de los productos disponibles.</t>
  </si>
  <si>
    <t>E04-HU03-T01</t>
  </si>
  <si>
    <t>Edición de producto</t>
  </si>
  <si>
    <t>E02-HU01-T04</t>
  </si>
  <si>
    <t>Probar lista, calendario y detalles básicos</t>
  </si>
  <si>
    <t>E03-HU02-T03</t>
  </si>
  <si>
    <t>Validación de contraseña (verifica que la contraseña pertenezca al usuario con dicho correo)</t>
  </si>
  <si>
    <t>E04-HU03-T02</t>
  </si>
  <si>
    <t>Registro de edición de producto</t>
  </si>
  <si>
    <t>E05-HU01</t>
  </si>
  <si>
    <t>Vitrina de productos para el cliente.</t>
  </si>
  <si>
    <t>E05-HU01-T01</t>
  </si>
  <si>
    <t>Listar productos disponibles en home</t>
  </si>
  <si>
    <t>E04-HU03-T03</t>
  </si>
  <si>
    <t>E03-HU02-T04</t>
  </si>
  <si>
    <t>E02-HU02</t>
  </si>
  <si>
    <t>Modificación y gestión de las reservas.</t>
  </si>
  <si>
    <t>Muestra mensaje de credenciales invalidas</t>
  </si>
  <si>
    <t>E02-HU02-T01</t>
  </si>
  <si>
    <t>Crear reserva en persona</t>
  </si>
  <si>
    <t>E07-HU02</t>
  </si>
  <si>
    <t>Control de cuotas de la simulación.</t>
  </si>
  <si>
    <t>E07-HU02-T01</t>
  </si>
  <si>
    <t>Implementar sistema de creditos por rol</t>
  </si>
  <si>
    <t>E05-HU01-T02</t>
  </si>
  <si>
    <t>Mostrar los 10 productos más usados/comprados</t>
  </si>
  <si>
    <t>E07-HU02-T02</t>
  </si>
  <si>
    <t>E02-HU02-T02</t>
  </si>
  <si>
    <t>Asignar 3 creditos para usuarios normales</t>
  </si>
  <si>
    <t>Modificar detalles de una reserva (reprogramar, modificar servicios, etc)</t>
  </si>
  <si>
    <t>E03-HU02-T05</t>
  </si>
  <si>
    <t>Redirigir a las vistas correspondientes del rol del usuario</t>
  </si>
  <si>
    <t>E05-HU01-T03</t>
  </si>
  <si>
    <t>Probar correcta visualización de productos</t>
  </si>
  <si>
    <t>E07-HU02-T03</t>
  </si>
  <si>
    <t>Asignar creditos ilimiatados para el administrador y el peluquero</t>
  </si>
  <si>
    <t>E02-HU02-T03</t>
  </si>
  <si>
    <t>Cancelar reservas</t>
  </si>
  <si>
    <t>E03-HU02-T06</t>
  </si>
  <si>
    <t>Botón de "olvidé contraseña"</t>
  </si>
  <si>
    <t>E07-HU02-T04</t>
  </si>
  <si>
    <t>Mostrar mensaje de alerta cada 2 simulaciones, avisando que queda 1 simulación disponible o que ya van 3 en caso de ser admin o peluquero</t>
  </si>
  <si>
    <t>E05-HU02</t>
  </si>
  <si>
    <t>Reseñas de los servicios.</t>
  </si>
  <si>
    <t>E05-HU02-T01</t>
  </si>
  <si>
    <t>Crear sistema de reseñas x servicio</t>
  </si>
  <si>
    <t>E02-HU02-T04</t>
  </si>
  <si>
    <t>Probar creación, modificación y cancelación.</t>
  </si>
  <si>
    <t>E07-HU02-T05</t>
  </si>
  <si>
    <t>Probar funcionamiento de los creditos y advertencias</t>
  </si>
  <si>
    <t>E03-HU02-T07</t>
  </si>
  <si>
    <t>Probar creación de cuenta</t>
  </si>
  <si>
    <t>E02-HU03</t>
  </si>
  <si>
    <t>Bloqueo de días u horas de la agenda.</t>
  </si>
  <si>
    <t>E02-HU03-T01</t>
  </si>
  <si>
    <t>Bloqueo de horas disponibles en el día</t>
  </si>
  <si>
    <t>E07-HU03</t>
  </si>
  <si>
    <t>Historial de simulaciones anteriores.</t>
  </si>
  <si>
    <t>E07-HU03-T01</t>
  </si>
  <si>
    <t>Mostrar en recuadro, simulaciones previas</t>
  </si>
  <si>
    <t>E03-HU03</t>
  </si>
  <si>
    <t>E05-HU02-T02</t>
  </si>
  <si>
    <t>Cierre de sesión.</t>
  </si>
  <si>
    <t>E03-HU03-T01</t>
  </si>
  <si>
    <t>Mostrar reseñas en el detalle del servicio</t>
  </si>
  <si>
    <t>El sistema elimina los datos locales de la sesión</t>
  </si>
  <si>
    <t>E02-HU03-T02</t>
  </si>
  <si>
    <t>Bloqueo de días, semanas o mes</t>
  </si>
  <si>
    <t>E07-HU03-T02</t>
  </si>
  <si>
    <t>Mostrar detalles de la simulación previa</t>
  </si>
  <si>
    <t>E03-HU03-T02</t>
  </si>
  <si>
    <t>El sistema muestra la vista de usuario sin cuenta.</t>
  </si>
  <si>
    <t>E07-HU03-T03</t>
  </si>
  <si>
    <t>Eliminar y reiniciar cada 24 horas las simulaciones</t>
  </si>
  <si>
    <t>E02-HU03-T03</t>
  </si>
  <si>
    <t>Desbloqueo de horas, días, semanas o mes + imposibilidad de modificar días pasados</t>
  </si>
  <si>
    <t>E05-HU02-T03</t>
  </si>
  <si>
    <t>Calcular y mostrar promedio de estrellas</t>
  </si>
  <si>
    <t>E03-HU03-T03</t>
  </si>
  <si>
    <t>Probar cerrado de sesión</t>
  </si>
  <si>
    <t>E02-HU03-T04</t>
  </si>
  <si>
    <t>Realizar registro de cambio en la bbdd</t>
  </si>
  <si>
    <t>Total del sprint</t>
  </si>
  <si>
    <t>E03-HU04</t>
  </si>
  <si>
    <t>Consulta y edición de los datos personales.</t>
  </si>
  <si>
    <t>E03-HU04-T01</t>
  </si>
  <si>
    <t>Creación de página de perfil</t>
  </si>
  <si>
    <t>E02-HU03-T05</t>
  </si>
  <si>
    <t>Probar bloqueos y desbloqueos</t>
  </si>
  <si>
    <t>E05-HU02-T04</t>
  </si>
  <si>
    <t>Validar correcto funcionamiento del sistema y visualización</t>
  </si>
  <si>
    <t>E02-HU04</t>
  </si>
  <si>
    <t>Dashboard con las operaciones del negocio.</t>
  </si>
  <si>
    <t>E02-HU04-T01</t>
  </si>
  <si>
    <t>Mostrar contador de reservas pendientes y confirmadas.</t>
  </si>
  <si>
    <t>E03-HU04-T02</t>
  </si>
  <si>
    <t>Mostrar la información sensible (personal) del cliente</t>
  </si>
  <si>
    <t>E02-HU04-T02</t>
  </si>
  <si>
    <t>Calcular servicios más cotizados</t>
  </si>
  <si>
    <t>E03-HU04-T03</t>
  </si>
  <si>
    <t>Listar servicios/productos comprados</t>
  </si>
  <si>
    <t>E02-HU04-T03</t>
  </si>
  <si>
    <t>Calculo de ingresos semanales, mensuales, trimestrales, semestrales, anuales.</t>
  </si>
  <si>
    <t>E02-HU04-T04</t>
  </si>
  <si>
    <t>E03-HU04-T04</t>
  </si>
  <si>
    <t>Probar dashboard</t>
  </si>
  <si>
    <t>Modificar información sensible</t>
  </si>
  <si>
    <t>E03-HU04-T05</t>
  </si>
  <si>
    <t>Probar modulo de página de perfil</t>
  </si>
  <si>
    <t>E05-HU03</t>
  </si>
  <si>
    <t>Información de contacto y ubicación del local.</t>
  </si>
  <si>
    <t>E05-HU03-T01</t>
  </si>
  <si>
    <t>Mostrar información de contacto y ubicación en pie de página</t>
  </si>
  <si>
    <t>E05-HU03-T02</t>
  </si>
  <si>
    <t>Mostrar información de contacto y ubicación en página "acerca de"</t>
  </si>
  <si>
    <t>E05-HU03-T03</t>
  </si>
  <si>
    <t>Validar correcta visualización</t>
  </si>
  <si>
    <t>Sprint backlog — Sprint 5</t>
  </si>
  <si>
    <t>HHS  ·  26/10/2026 – 08/11/2026  ·  109 h  ·  tareas del PDF, una fila por tarea  ·  estatus de planificación: Por iniciar</t>
  </si>
  <si>
    <t>E07-HU01</t>
  </si>
  <si>
    <t>Simulación del corte de pelo con una foto.</t>
  </si>
  <si>
    <t>E07-HU01-T01</t>
  </si>
  <si>
    <t>Pagar suscripción de agente IA</t>
  </si>
  <si>
    <t>E07-HU01-T02</t>
  </si>
  <si>
    <t>Configurar el Agente IA</t>
  </si>
  <si>
    <t>E07-HU01-T03</t>
  </si>
  <si>
    <t>Implementar agente IA en el sistema</t>
  </si>
  <si>
    <t>E07-HU01-T04</t>
  </si>
  <si>
    <t>Sin nombre en el PDF (se conservan las 10 h)</t>
  </si>
  <si>
    <t>E07-HU01-T05</t>
  </si>
  <si>
    <t>Implementar subida de foto y asegurar privacidad del usuario</t>
  </si>
  <si>
    <t>E07-HU01-T06</t>
  </si>
  <si>
    <t>Implementar simulación con servicios ofrecidos por la peluquería</t>
  </si>
  <si>
    <t>E07-HU01-T07</t>
  </si>
  <si>
    <t>Mostrar simulación</t>
  </si>
  <si>
    <t>E07-HU01-T08</t>
  </si>
  <si>
    <t>Validar generación de la simulación</t>
  </si>
  <si>
    <t>E07-HU01-T09</t>
  </si>
  <si>
    <t>Almacenar localmente la simulación</t>
  </si>
  <si>
    <t>E06-HU01</t>
  </si>
  <si>
    <t>Reserva de horas desde WhatsApp.</t>
  </si>
  <si>
    <t>E06-HU01-T01</t>
  </si>
  <si>
    <t>Agregar burbuja de chat</t>
  </si>
  <si>
    <t>E06-HU01-T02</t>
  </si>
  <si>
    <t>Crear e implementar chats predefinidos</t>
  </si>
  <si>
    <t>E06-HU01-T03</t>
  </si>
  <si>
    <t>Consultar disponibilidad de horas</t>
  </si>
  <si>
    <t>E06-HU01-T04</t>
  </si>
  <si>
    <t>Registrar reserva (para validación x peluquero)</t>
  </si>
  <si>
    <t>E06-HU01-T05</t>
  </si>
  <si>
    <t>Probar implementación</t>
  </si>
  <si>
    <t>E06-HU02</t>
  </si>
  <si>
    <t>Conversación con la peluquería por WhatsApp.</t>
  </si>
  <si>
    <t>E06-HU02-T01</t>
  </si>
  <si>
    <t>Implementar solicitud de atención por personal</t>
  </si>
  <si>
    <t>E06-HU02-T02</t>
  </si>
  <si>
    <t>Configurar redirección a chat con peluquero</t>
  </si>
  <si>
    <t>E06-HU02-T03</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</si>
</sst>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
    <numFmt numFmtId="165" formatCode="0.#"/>
  </numFmts>
  <fonts count="19">
    <font>
      <sz val="11.0"/>
      <color theme="1"/>
      <name val="Calibri"/>
      <scheme val="minor"/>
    </font>
    <font>
      <b/>
      <sz val="16.0"/>
      <color rgb="FF1F4E79"/>
      <name val="Calibri"/>
    </font>
    <font>
      <sz val="12.0"/>
      <color rgb="FF000000"/>
      <name val="Calibri"/>
    </font>
    <font>
      <sz val="10.0"/>
      <color rgb="FF595959"/>
      <name val="Calibri"/>
    </font>
    <font>
      <b/>
      <sz val="11.0"/>
      <color rgb="FFFFFFFF"/>
      <name val="Calibri"/>
    </font>
    <font/>
    <font>
      <b/>
      <sz val="8.0"/>
      <color rgb="FF1F4E79"/>
      <name val="Calibri"/>
    </font>
    <font>
      <b/>
      <sz val="10.0"/>
      <color rgb="FF2E75B6"/>
      <name val="Calibri"/>
    </font>
    <font>
      <sz val="9.0"/>
      <color rgb="FF000000"/>
      <name val="Calibri"/>
    </font>
    <font>
      <b/>
      <sz val="10.0"/>
      <color rgb="FF000000"/>
      <name val="Calibri"/>
    </font>
    <font>
      <sz val="10.0"/>
      <color rgb="FF000000"/>
      <name val="Calibri"/>
    </font>
    <font>
      <b/>
      <sz val="10.0"/>
      <color rgb="FF548235"/>
      <name val="Calibri"/>
    </font>
    <font>
      <sz val="9.0"/>
      <color rgb="FF595959"/>
      <name val="Calibri"/>
    </font>
    <font>
      <b/>
      <sz val="10.0"/>
      <color rgb="FFC65911"/>
      <name val="Calibri"/>
    </font>
    <font>
      <b/>
      <sz val="10.0"/>
      <color rgb="FF0D7377"/>
      <name val="Calibri"/>
    </font>
    <font>
      <b/>
      <sz val="10.0"/>
      <color rgb="FF7030A0"/>
      <name val="Calibri"/>
    </font>
    <font>
      <b/>
      <sz val="10.0"/>
      <color rgb="FFC00000"/>
      <name val="Calibri"/>
    </font>
    <font>
      <b/>
      <sz val="9.0"/>
      <color rgb="FFFFFFFF"/>
      <name val="Calibri"/>
    </font>
    <font>
      <b/>
      <sz val="10.0"/>
      <color rgb="FFBF8F00"/>
      <name val="Calibri"/>
    </font>
  </fonts>
  <fills count="5">
    <fill>
      <patternFill patternType="none"/>
    </fill>
    <fill>
      <patternFill patternType="lightGray"/>
    </fill>
    <fill>
      <patternFill patternType="solid">
        <fgColor rgb="FF1F4E79"/>
        <bgColor rgb="FF1F4E79"/>
      </patternFill>
    </fill>
    <fill>
      <patternFill patternType="solid">
        <fgColor rgb="FFFCE4D6"/>
        <bgColor rgb="FFFCE4D6"/>
      </patternFill>
    </fill>
    <fill>
      <patternFill patternType="solid">
        <fgColor rgb="FFDEEBF7"/>
        <bgColor rgb="FFDEEBF7"/>
      </patternFill>
    </fill>
  </fills>
  <borders count="4">
    <border/>
    <border>
      <left style="thin">
        <color rgb="FFD9D9D9"/>
      </left>
      <right style="thin">
        <color rgb="FFD9D9D9"/>
      </right>
      <top style="thin">
        <color rgb="FFD9D9D9"/>
      </top>
      <bottom style="thin">
        <color rgb="FFD9D9D9"/>
      </bottom>
    </border>
    <border>
      <left style="thin">
        <color rgb="FFD9D9D9"/>
      </left>
      <top style="thin">
        <color rgb="FFD9D9D9"/>
      </top>
      <bottom style="thin">
        <color rgb="FFD9D9D9"/>
      </bottom>
    </border>
    <border>
      <right style="thin">
        <color rgb="FFD9D9D9"/>
      </right>
      <top style="thin">
        <color rgb="FFD9D9D9"/>
      </top>
      <bottom style="thin">
        <color rgb="FFD9D9D9"/>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vertical="center" wrapText="1"/>
    </xf>
    <xf borderId="0" fillId="0" fontId="3" numFmtId="0" xfId="0" applyFont="1"/>
    <xf borderId="1" fillId="2" fontId="4" numFmtId="0" xfId="0" applyAlignment="1" applyBorder="1" applyFill="1" applyFont="1">
      <alignment horizontal="center" shrinkToFit="0" vertical="center" wrapText="1"/>
    </xf>
    <xf borderId="2" fillId="2" fontId="4" numFmtId="0" xfId="0" applyAlignment="1" applyBorder="1" applyFill="1" applyFont="1">
      <alignment horizontal="center" shrinkToFit="0" vertical="center" wrapText="1"/>
    </xf>
    <xf borderId="3" fillId="0" fontId="5" numFmtId="0" xfId="0" applyBorder="1" applyFont="1"/>
    <xf borderId="1" fillId="0" fontId="6" numFmtId="164" xfId="0" applyAlignment="1" applyBorder="1" applyFont="1" applyNumberFormat="1">
      <alignment horizontal="center" shrinkToFit="0" vertical="center" wrapText="1"/>
    </xf>
    <xf borderId="1" fillId="0" fontId="6" numFmtId="0" xfId="0" applyAlignment="1" applyBorder="1" applyFont="1">
      <alignment horizontal="center" shrinkToFit="0" vertical="center" wrapText="1"/>
    </xf>
    <xf borderId="1" fillId="3" fontId="6" numFmtId="164" xfId="0" applyAlignment="1" applyBorder="1" applyFill="1" applyFont="1" applyNumberFormat="1">
      <alignment horizontal="center" shrinkToFit="0" vertical="center" wrapText="1"/>
    </xf>
    <xf borderId="1" fillId="0" fontId="7" numFmtId="0" xfId="0" applyBorder="1" applyFont="1"/>
    <xf borderId="1" fillId="0" fontId="8" numFmtId="0" xfId="0" applyAlignment="1" applyBorder="1" applyFont="1">
      <alignment shrinkToFit="0" vertical="center" wrapText="1"/>
    </xf>
    <xf borderId="1" fillId="0" fontId="9" numFmtId="0" xfId="0" applyBorder="1" applyFont="1"/>
    <xf borderId="1" fillId="0" fontId="10" numFmtId="0" xfId="0" applyAlignment="1" applyBorder="1" applyFont="1">
      <alignment shrinkToFit="0" vertical="center" wrapText="1"/>
    </xf>
    <xf borderId="1" fillId="0" fontId="10" numFmtId="0" xfId="0" applyBorder="1" applyFont="1"/>
    <xf borderId="1" fillId="0" fontId="10" numFmtId="0" xfId="0" applyAlignment="1" applyBorder="1" applyFont="1">
      <alignment horizontal="center" readingOrder="0" shrinkToFit="0" vertical="center" wrapText="1"/>
    </xf>
    <xf borderId="1" fillId="0" fontId="9" numFmtId="0" xfId="0" applyAlignment="1" applyBorder="1" applyFont="1">
      <alignment horizontal="center" shrinkToFit="0" vertical="center" wrapText="1"/>
    </xf>
    <xf borderId="1" fillId="4" fontId="8" numFmtId="165" xfId="0" applyAlignment="1" applyBorder="1" applyFill="1" applyFont="1" applyNumberFormat="1">
      <alignment horizontal="center" shrinkToFit="0" vertical="center" wrapText="1"/>
    </xf>
    <xf borderId="1" fillId="0" fontId="11" numFmtId="0" xfId="0" applyBorder="1" applyFont="1"/>
    <xf borderId="1" fillId="0" fontId="12" numFmtId="165" xfId="0" applyAlignment="1" applyBorder="1" applyFont="1" applyNumberFormat="1">
      <alignment horizontal="center" shrinkToFit="0" vertical="center" wrapText="1"/>
    </xf>
    <xf borderId="1" fillId="0" fontId="8" numFmtId="165" xfId="0" applyAlignment="1" applyBorder="1" applyFont="1" applyNumberFormat="1">
      <alignment horizontal="center" shrinkToFit="0" vertical="center" wrapText="1"/>
    </xf>
    <xf borderId="1" fillId="0" fontId="13" numFmtId="0" xfId="0" applyBorder="1" applyFont="1"/>
    <xf borderId="1" fillId="0" fontId="10" numFmtId="0" xfId="0" applyAlignment="1" applyBorder="1" applyFont="1">
      <alignment horizontal="center" shrinkToFit="0" vertical="center" wrapText="1"/>
    </xf>
    <xf borderId="1" fillId="0" fontId="9" numFmtId="165" xfId="0" applyAlignment="1" applyBorder="1" applyFont="1" applyNumberFormat="1">
      <alignment horizontal="center" shrinkToFit="0" vertical="center" wrapText="1"/>
    </xf>
    <xf borderId="1" fillId="0" fontId="14" numFmtId="0" xfId="0" applyBorder="1" applyFont="1"/>
    <xf borderId="1" fillId="0" fontId="15" numFmtId="0" xfId="0" applyBorder="1" applyFont="1"/>
    <xf borderId="1" fillId="0" fontId="16" numFmtId="0" xfId="0" applyBorder="1" applyFont="1"/>
    <xf borderId="1" fillId="2" fontId="17" numFmtId="0" xfId="0" applyAlignment="1" applyBorder="1" applyFill="1" applyFont="1">
      <alignment horizontal="center" shrinkToFit="0" vertical="center" wrapText="1"/>
    </xf>
    <xf borderId="1" fillId="2" fontId="17" numFmtId="0" xfId="0" applyAlignment="1" applyBorder="1" applyFill="1" applyFont="1">
      <alignment horizontal="left" vertical="center"/>
    </xf>
    <xf borderId="1" fillId="2" fontId="17" numFmtId="1" xfId="0" applyAlignment="1" applyBorder="1" applyFill="1" applyFont="1" applyNumberFormat="1">
      <alignment horizontal="center" shrinkToFit="0" vertical="center" wrapText="1"/>
    </xf>
    <xf borderId="1" fillId="2" fontId="17" numFmtId="165" xfId="0" applyAlignment="1" applyBorder="1" applyFill="1" applyFont="1" applyNumberFormat="1">
      <alignment horizontal="center" shrinkToFit="0" vertical="center" wrapText="1"/>
    </xf>
    <xf borderId="1" fillId="0" fontId="18"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0.0"/>
    <col customWidth="1" min="2" max="26" width="8.71"/>
  </cols>
  <sheetData>
    <row r="1" ht="24.0" customHeight="1">
      <c r="A1" s="1" t="s">
        <v>0</v>
      </c>
    </row>
    <row r="3" ht="31.5" customHeight="1">
      <c r="A3" s="2" t="s">
        <v>4</v>
      </c>
    </row>
    <row r="4" ht="31.5" customHeight="1">
      <c r="A4" s="2" t="s">
        <v>5</v>
      </c>
    </row>
    <row r="5" ht="31.5" customHeight="1">
      <c r="A5" s="2" t="s">
        <v>6</v>
      </c>
    </row>
    <row r="6" ht="31.5" customHeight="1">
      <c r="A6" s="2" t="s">
        <v>10</v>
      </c>
    </row>
    <row r="7" ht="31.5" customHeight="1">
      <c r="A7" s="2" t="s">
        <v>12</v>
      </c>
    </row>
    <row r="8" ht="31.5" customHeight="1">
      <c r="A8" s="2" t="s">
        <v>13</v>
      </c>
    </row>
    <row r="9" ht="31.5" customHeight="1">
      <c r="A9" s="2" t="s">
        <v>14</v>
      </c>
    </row>
    <row r="10" ht="31.5" customHeight="1">
      <c r="A10" s="2" t="s">
        <v>15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3"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4.43" defaultRowHeight="15.0"/>
  <cols>
    <col customWidth="1" min="1" max="1" width="14.0"/>
    <col customWidth="1" min="2" max="2" width="36.0"/>
    <col customWidth="1" min="3" max="3" width="16.0"/>
    <col customWidth="1" min="4" max="4" width="42.0"/>
    <col customWidth="1" min="5" max="5" width="18.0"/>
    <col customWidth="1" min="6" max="6" width="14.0"/>
    <col customWidth="1" min="7" max="7" width="10.0"/>
    <col customWidth="1" min="8" max="27" width="6.0"/>
    <col customWidth="1" min="28" max="28" width="11.0"/>
    <col customWidth="1" min="29" max="29" width="12.0"/>
  </cols>
  <sheetData>
    <row r="1" ht="24.0" customHeight="1">
      <c r="A1" s="1" t="s">
        <v>1</v>
      </c>
    </row>
    <row r="2">
      <c r="A2" s="3" t="s">
        <v>7</v>
      </c>
    </row>
    <row r="4" ht="21.75" customHeight="1">
      <c r="A4" s="4" t="s">
        <v>11</v>
      </c>
      <c r="B4" s="4" t="s">
        <v>16</v>
      </c>
      <c r="C4" s="4" t="s">
        <v>17</v>
      </c>
      <c r="D4" s="4" t="s">
        <v>18</v>
      </c>
      <c r="E4" s="4" t="s">
        <v>19</v>
      </c>
      <c r="F4" s="4" t="s">
        <v>20</v>
      </c>
      <c r="G4" s="4" t="s">
        <v>21</v>
      </c>
      <c r="H4" s="5" t="s">
        <v>22</v>
      </c>
      <c r="I4" s="6"/>
      <c r="J4" s="5" t="s">
        <v>23</v>
      </c>
      <c r="K4" s="6"/>
      <c r="L4" s="5" t="s">
        <v>24</v>
      </c>
      <c r="M4" s="6"/>
      <c r="N4" s="5" t="s">
        <v>25</v>
      </c>
      <c r="O4" s="6"/>
      <c r="P4" s="5" t="s">
        <v>26</v>
      </c>
      <c r="Q4" s="6"/>
      <c r="R4" s="5" t="s">
        <v>27</v>
      </c>
      <c r="S4" s="6"/>
      <c r="T4" s="5" t="s">
        <v>28</v>
      </c>
      <c r="U4" s="6"/>
      <c r="V4" s="5" t="s">
        <v>29</v>
      </c>
      <c r="W4" s="6"/>
      <c r="X4" s="5" t="s">
        <v>30</v>
      </c>
      <c r="Y4" s="6"/>
      <c r="Z4" s="5" t="s">
        <v>31</v>
      </c>
      <c r="AA4" s="6"/>
      <c r="AB4" s="4" t="s">
        <v>32</v>
      </c>
      <c r="AC4" s="4" t="s">
        <v>33</v>
      </c>
    </row>
    <row r="5">
      <c r="H5" s="7">
        <v>46265.0</v>
      </c>
      <c r="I5" s="8" t="s">
        <v>34</v>
      </c>
      <c r="J5" s="7">
        <v>46266.0</v>
      </c>
      <c r="K5" s="8" t="s">
        <v>34</v>
      </c>
      <c r="L5" s="7">
        <v>46267.0</v>
      </c>
      <c r="M5" s="8" t="s">
        <v>34</v>
      </c>
      <c r="N5" s="7">
        <v>46268.0</v>
      </c>
      <c r="O5" s="8" t="s">
        <v>34</v>
      </c>
      <c r="P5" s="7">
        <v>46269.0</v>
      </c>
      <c r="Q5" s="8" t="s">
        <v>34</v>
      </c>
      <c r="R5" s="7">
        <v>46272.0</v>
      </c>
      <c r="S5" s="8" t="s">
        <v>34</v>
      </c>
      <c r="T5" s="7">
        <v>46273.0</v>
      </c>
      <c r="U5" s="8" t="s">
        <v>34</v>
      </c>
      <c r="V5" s="7">
        <v>46274.0</v>
      </c>
      <c r="W5" s="8" t="s">
        <v>34</v>
      </c>
      <c r="X5" s="7">
        <v>46275.0</v>
      </c>
      <c r="Y5" s="8" t="s">
        <v>34</v>
      </c>
      <c r="Z5" s="7">
        <v>46276.0</v>
      </c>
      <c r="AA5" s="8" t="s">
        <v>34</v>
      </c>
    </row>
    <row r="6" ht="31.5" customHeight="1">
      <c r="A6" s="10" t="s">
        <v>35</v>
      </c>
      <c r="B6" s="11" t="s">
        <v>36</v>
      </c>
      <c r="C6" s="12" t="s">
        <v>37</v>
      </c>
      <c r="D6" s="13" t="s">
        <v>39</v>
      </c>
      <c r="E6" s="14" t="s">
        <v>41</v>
      </c>
      <c r="F6" s="15" t="s">
        <v>43</v>
      </c>
      <c r="G6" s="16">
        <v>6.0</v>
      </c>
      <c r="H6" s="17">
        <v>6.0</v>
      </c>
      <c r="I6" s="19">
        <f t="shared" ref="I6:I26" si="1">G6-H6</f>
        <v>0</v>
      </c>
      <c r="J6" s="20">
        <v>0.0</v>
      </c>
      <c r="K6" s="19">
        <f t="shared" ref="K6:K26" si="2">I6-J6</f>
        <v>0</v>
      </c>
      <c r="L6" s="20">
        <v>0.0</v>
      </c>
      <c r="M6" s="19">
        <f t="shared" ref="M6:M26" si="3">K6-L6</f>
        <v>0</v>
      </c>
      <c r="N6" s="20">
        <v>0.0</v>
      </c>
      <c r="O6" s="19">
        <f t="shared" ref="O6:O26" si="4">M6-N6</f>
        <v>0</v>
      </c>
      <c r="P6" s="20">
        <v>0.0</v>
      </c>
      <c r="Q6" s="19">
        <f t="shared" ref="Q6:Q26" si="5">O6-P6</f>
        <v>0</v>
      </c>
      <c r="R6" s="20">
        <v>0.0</v>
      </c>
      <c r="S6" s="19">
        <f t="shared" ref="S6:S26" si="6">Q6-R6</f>
        <v>0</v>
      </c>
      <c r="T6" s="20">
        <v>0.0</v>
      </c>
      <c r="U6" s="19">
        <f t="shared" ref="U6:U26" si="7">S6-T6</f>
        <v>0</v>
      </c>
      <c r="V6" s="20">
        <v>0.0</v>
      </c>
      <c r="W6" s="19">
        <f t="shared" ref="W6:W26" si="8">U6-V6</f>
        <v>0</v>
      </c>
      <c r="X6" s="20">
        <v>0.0</v>
      </c>
      <c r="Y6" s="19">
        <f t="shared" ref="Y6:Y26" si="9">W6-X6</f>
        <v>0</v>
      </c>
      <c r="Z6" s="20">
        <v>0.0</v>
      </c>
      <c r="AA6" s="19">
        <f t="shared" ref="AA6:AA26" si="10">Y6-Z6</f>
        <v>0</v>
      </c>
      <c r="AB6" s="23">
        <f t="shared" ref="AB6:AB26" si="11">H6+J6+L6+N6+P6+R6+T6+V6+X6+Z6</f>
        <v>6</v>
      </c>
      <c r="AC6" s="23">
        <f t="shared" ref="AC6:AC26" si="12">AA6</f>
        <v>0</v>
      </c>
    </row>
    <row r="7" ht="31.5" customHeight="1">
      <c r="A7" s="10"/>
      <c r="B7" s="11"/>
      <c r="C7" s="12" t="s">
        <v>57</v>
      </c>
      <c r="D7" s="13" t="s">
        <v>58</v>
      </c>
      <c r="E7" s="14" t="s">
        <v>41</v>
      </c>
      <c r="F7" s="15" t="s">
        <v>43</v>
      </c>
      <c r="G7" s="16">
        <v>4.0</v>
      </c>
      <c r="H7" s="17">
        <v>2.0</v>
      </c>
      <c r="I7" s="19">
        <f t="shared" si="1"/>
        <v>2</v>
      </c>
      <c r="J7" s="17">
        <v>2.0</v>
      </c>
      <c r="K7" s="19">
        <f t="shared" si="2"/>
        <v>0</v>
      </c>
      <c r="L7" s="20">
        <v>0.0</v>
      </c>
      <c r="M7" s="19">
        <f t="shared" si="3"/>
        <v>0</v>
      </c>
      <c r="N7" s="20">
        <v>0.0</v>
      </c>
      <c r="O7" s="19">
        <f t="shared" si="4"/>
        <v>0</v>
      </c>
      <c r="P7" s="20">
        <v>0.0</v>
      </c>
      <c r="Q7" s="19">
        <f t="shared" si="5"/>
        <v>0</v>
      </c>
      <c r="R7" s="20">
        <v>0.0</v>
      </c>
      <c r="S7" s="19">
        <f t="shared" si="6"/>
        <v>0</v>
      </c>
      <c r="T7" s="20">
        <v>0.0</v>
      </c>
      <c r="U7" s="19">
        <f t="shared" si="7"/>
        <v>0</v>
      </c>
      <c r="V7" s="20">
        <v>0.0</v>
      </c>
      <c r="W7" s="19">
        <f t="shared" si="8"/>
        <v>0</v>
      </c>
      <c r="X7" s="20">
        <v>0.0</v>
      </c>
      <c r="Y7" s="19">
        <f t="shared" si="9"/>
        <v>0</v>
      </c>
      <c r="Z7" s="20">
        <v>0.0</v>
      </c>
      <c r="AA7" s="19">
        <f t="shared" si="10"/>
        <v>0</v>
      </c>
      <c r="AB7" s="23">
        <f t="shared" si="11"/>
        <v>4</v>
      </c>
      <c r="AC7" s="23">
        <f t="shared" si="12"/>
        <v>0</v>
      </c>
    </row>
    <row r="8" ht="31.5" customHeight="1">
      <c r="A8" s="10"/>
      <c r="B8" s="11"/>
      <c r="C8" s="12" t="s">
        <v>63</v>
      </c>
      <c r="D8" s="13" t="s">
        <v>64</v>
      </c>
      <c r="E8" s="14" t="s">
        <v>41</v>
      </c>
      <c r="F8" s="15" t="s">
        <v>43</v>
      </c>
      <c r="G8" s="16">
        <v>6.0</v>
      </c>
      <c r="H8" s="20">
        <v>0.0</v>
      </c>
      <c r="I8" s="19">
        <f t="shared" si="1"/>
        <v>6</v>
      </c>
      <c r="J8" s="17">
        <v>6.0</v>
      </c>
      <c r="K8" s="19">
        <f t="shared" si="2"/>
        <v>0</v>
      </c>
      <c r="L8" s="20">
        <v>0.0</v>
      </c>
      <c r="M8" s="19">
        <f t="shared" si="3"/>
        <v>0</v>
      </c>
      <c r="N8" s="20">
        <v>0.0</v>
      </c>
      <c r="O8" s="19">
        <f t="shared" si="4"/>
        <v>0</v>
      </c>
      <c r="P8" s="20">
        <v>0.0</v>
      </c>
      <c r="Q8" s="19">
        <f t="shared" si="5"/>
        <v>0</v>
      </c>
      <c r="R8" s="20">
        <v>0.0</v>
      </c>
      <c r="S8" s="19">
        <f t="shared" si="6"/>
        <v>0</v>
      </c>
      <c r="T8" s="20">
        <v>0.0</v>
      </c>
      <c r="U8" s="19">
        <f t="shared" si="7"/>
        <v>0</v>
      </c>
      <c r="V8" s="20">
        <v>0.0</v>
      </c>
      <c r="W8" s="19">
        <f t="shared" si="8"/>
        <v>0</v>
      </c>
      <c r="X8" s="20">
        <v>0.0</v>
      </c>
      <c r="Y8" s="19">
        <f t="shared" si="9"/>
        <v>0</v>
      </c>
      <c r="Z8" s="20">
        <v>0.0</v>
      </c>
      <c r="AA8" s="19">
        <f t="shared" si="10"/>
        <v>0</v>
      </c>
      <c r="AB8" s="23">
        <f t="shared" si="11"/>
        <v>6</v>
      </c>
      <c r="AC8" s="23">
        <f t="shared" si="12"/>
        <v>0</v>
      </c>
    </row>
    <row r="9" ht="31.5" customHeight="1">
      <c r="A9" s="10"/>
      <c r="B9" s="11"/>
      <c r="C9" s="12" t="s">
        <v>71</v>
      </c>
      <c r="D9" s="13" t="s">
        <v>72</v>
      </c>
      <c r="E9" s="14" t="s">
        <v>73</v>
      </c>
      <c r="F9" s="15" t="s">
        <v>43</v>
      </c>
      <c r="G9" s="16">
        <v>4.0</v>
      </c>
      <c r="H9" s="17">
        <v>4.0</v>
      </c>
      <c r="I9" s="19">
        <f t="shared" si="1"/>
        <v>0</v>
      </c>
      <c r="J9" s="20">
        <v>0.0</v>
      </c>
      <c r="K9" s="19">
        <f t="shared" si="2"/>
        <v>0</v>
      </c>
      <c r="L9" s="20">
        <v>0.0</v>
      </c>
      <c r="M9" s="19">
        <f t="shared" si="3"/>
        <v>0</v>
      </c>
      <c r="N9" s="20">
        <v>0.0</v>
      </c>
      <c r="O9" s="19">
        <f t="shared" si="4"/>
        <v>0</v>
      </c>
      <c r="P9" s="20">
        <v>0.0</v>
      </c>
      <c r="Q9" s="19">
        <f t="shared" si="5"/>
        <v>0</v>
      </c>
      <c r="R9" s="20">
        <v>0.0</v>
      </c>
      <c r="S9" s="19">
        <f t="shared" si="6"/>
        <v>0</v>
      </c>
      <c r="T9" s="20">
        <v>0.0</v>
      </c>
      <c r="U9" s="19">
        <f t="shared" si="7"/>
        <v>0</v>
      </c>
      <c r="V9" s="20">
        <v>0.0</v>
      </c>
      <c r="W9" s="19">
        <f t="shared" si="8"/>
        <v>0</v>
      </c>
      <c r="X9" s="20">
        <v>0.0</v>
      </c>
      <c r="Y9" s="19">
        <f t="shared" si="9"/>
        <v>0</v>
      </c>
      <c r="Z9" s="20">
        <v>0.0</v>
      </c>
      <c r="AA9" s="19">
        <f t="shared" si="10"/>
        <v>0</v>
      </c>
      <c r="AB9" s="23">
        <f t="shared" si="11"/>
        <v>4</v>
      </c>
      <c r="AC9" s="23">
        <f t="shared" si="12"/>
        <v>0</v>
      </c>
    </row>
    <row r="10" ht="31.5" customHeight="1">
      <c r="A10" s="24" t="s">
        <v>80</v>
      </c>
      <c r="B10" s="11" t="s">
        <v>81</v>
      </c>
      <c r="C10" s="12" t="s">
        <v>82</v>
      </c>
      <c r="D10" s="13" t="s">
        <v>83</v>
      </c>
      <c r="E10" s="14" t="s">
        <v>41</v>
      </c>
      <c r="F10" s="15" t="s">
        <v>43</v>
      </c>
      <c r="G10" s="16">
        <v>5.0</v>
      </c>
      <c r="H10" s="20">
        <v>0.0</v>
      </c>
      <c r="I10" s="19">
        <f t="shared" si="1"/>
        <v>5</v>
      </c>
      <c r="J10" s="20">
        <v>0.0</v>
      </c>
      <c r="K10" s="19">
        <f t="shared" si="2"/>
        <v>5</v>
      </c>
      <c r="L10" s="17">
        <v>5.0</v>
      </c>
      <c r="M10" s="19">
        <f t="shared" si="3"/>
        <v>0</v>
      </c>
      <c r="N10" s="20">
        <v>0.0</v>
      </c>
      <c r="O10" s="19">
        <f t="shared" si="4"/>
        <v>0</v>
      </c>
      <c r="P10" s="20">
        <v>0.0</v>
      </c>
      <c r="Q10" s="19">
        <f t="shared" si="5"/>
        <v>0</v>
      </c>
      <c r="R10" s="20">
        <v>0.0</v>
      </c>
      <c r="S10" s="19">
        <f t="shared" si="6"/>
        <v>0</v>
      </c>
      <c r="T10" s="20">
        <v>0.0</v>
      </c>
      <c r="U10" s="19">
        <f t="shared" si="7"/>
        <v>0</v>
      </c>
      <c r="V10" s="20">
        <v>0.0</v>
      </c>
      <c r="W10" s="19">
        <f t="shared" si="8"/>
        <v>0</v>
      </c>
      <c r="X10" s="20">
        <v>0.0</v>
      </c>
      <c r="Y10" s="19">
        <f t="shared" si="9"/>
        <v>0</v>
      </c>
      <c r="Z10" s="20">
        <v>0.0</v>
      </c>
      <c r="AA10" s="19">
        <f t="shared" si="10"/>
        <v>0</v>
      </c>
      <c r="AB10" s="23">
        <f t="shared" si="11"/>
        <v>5</v>
      </c>
      <c r="AC10" s="23">
        <f t="shared" si="12"/>
        <v>0</v>
      </c>
    </row>
    <row r="11" ht="31.5" customHeight="1">
      <c r="A11" s="24"/>
      <c r="B11" s="11"/>
      <c r="C11" s="12" t="s">
        <v>92</v>
      </c>
      <c r="D11" s="13" t="s">
        <v>93</v>
      </c>
      <c r="E11" s="14" t="s">
        <v>49</v>
      </c>
      <c r="F11" s="15" t="s">
        <v>43</v>
      </c>
      <c r="G11" s="16">
        <v>5.0</v>
      </c>
      <c r="H11" s="17">
        <v>5.0</v>
      </c>
      <c r="I11" s="19">
        <f t="shared" si="1"/>
        <v>0</v>
      </c>
      <c r="J11" s="20">
        <v>0.0</v>
      </c>
      <c r="K11" s="19">
        <f t="shared" si="2"/>
        <v>0</v>
      </c>
      <c r="L11" s="20">
        <v>0.0</v>
      </c>
      <c r="M11" s="19">
        <f t="shared" si="3"/>
        <v>0</v>
      </c>
      <c r="N11" s="20">
        <v>0.0</v>
      </c>
      <c r="O11" s="19">
        <f t="shared" si="4"/>
        <v>0</v>
      </c>
      <c r="P11" s="20">
        <v>0.0</v>
      </c>
      <c r="Q11" s="19">
        <f t="shared" si="5"/>
        <v>0</v>
      </c>
      <c r="R11" s="20">
        <v>0.0</v>
      </c>
      <c r="S11" s="19">
        <f t="shared" si="6"/>
        <v>0</v>
      </c>
      <c r="T11" s="20">
        <v>0.0</v>
      </c>
      <c r="U11" s="19">
        <f t="shared" si="7"/>
        <v>0</v>
      </c>
      <c r="V11" s="20">
        <v>0.0</v>
      </c>
      <c r="W11" s="19">
        <f t="shared" si="8"/>
        <v>0</v>
      </c>
      <c r="X11" s="20">
        <v>0.0</v>
      </c>
      <c r="Y11" s="19">
        <f t="shared" si="9"/>
        <v>0</v>
      </c>
      <c r="Z11" s="20">
        <v>0.0</v>
      </c>
      <c r="AA11" s="19">
        <f t="shared" si="10"/>
        <v>0</v>
      </c>
      <c r="AB11" s="23">
        <f t="shared" si="11"/>
        <v>5</v>
      </c>
      <c r="AC11" s="23">
        <f t="shared" si="12"/>
        <v>0</v>
      </c>
    </row>
    <row r="12" ht="31.5" customHeight="1">
      <c r="A12" s="24"/>
      <c r="B12" s="11"/>
      <c r="C12" s="12" t="s">
        <v>103</v>
      </c>
      <c r="D12" s="13" t="s">
        <v>104</v>
      </c>
      <c r="E12" s="14" t="s">
        <v>49</v>
      </c>
      <c r="F12" s="15" t="s">
        <v>43</v>
      </c>
      <c r="G12" s="16">
        <v>4.0</v>
      </c>
      <c r="H12" s="17">
        <v>3.0</v>
      </c>
      <c r="I12" s="19">
        <f t="shared" si="1"/>
        <v>1</v>
      </c>
      <c r="J12" s="17">
        <v>1.0</v>
      </c>
      <c r="K12" s="19">
        <f t="shared" si="2"/>
        <v>0</v>
      </c>
      <c r="L12" s="20">
        <v>0.0</v>
      </c>
      <c r="M12" s="19">
        <f t="shared" si="3"/>
        <v>0</v>
      </c>
      <c r="N12" s="20">
        <v>0.0</v>
      </c>
      <c r="O12" s="19">
        <f t="shared" si="4"/>
        <v>0</v>
      </c>
      <c r="P12" s="20">
        <v>0.0</v>
      </c>
      <c r="Q12" s="19">
        <f t="shared" si="5"/>
        <v>0</v>
      </c>
      <c r="R12" s="20">
        <v>0.0</v>
      </c>
      <c r="S12" s="19">
        <f t="shared" si="6"/>
        <v>0</v>
      </c>
      <c r="T12" s="20">
        <v>0.0</v>
      </c>
      <c r="U12" s="19">
        <f t="shared" si="7"/>
        <v>0</v>
      </c>
      <c r="V12" s="20">
        <v>0.0</v>
      </c>
      <c r="W12" s="19">
        <f t="shared" si="8"/>
        <v>0</v>
      </c>
      <c r="X12" s="20">
        <v>0.0</v>
      </c>
      <c r="Y12" s="19">
        <f t="shared" si="9"/>
        <v>0</v>
      </c>
      <c r="Z12" s="20">
        <v>0.0</v>
      </c>
      <c r="AA12" s="19">
        <f t="shared" si="10"/>
        <v>0</v>
      </c>
      <c r="AB12" s="23">
        <f t="shared" si="11"/>
        <v>4</v>
      </c>
      <c r="AC12" s="23">
        <f t="shared" si="12"/>
        <v>0</v>
      </c>
    </row>
    <row r="13" ht="31.5" customHeight="1">
      <c r="A13" s="24"/>
      <c r="B13" s="11"/>
      <c r="C13" s="12" t="s">
        <v>111</v>
      </c>
      <c r="D13" s="13" t="s">
        <v>112</v>
      </c>
      <c r="E13" s="14" t="s">
        <v>73</v>
      </c>
      <c r="F13" s="15" t="s">
        <v>43</v>
      </c>
      <c r="G13" s="16">
        <v>4.0</v>
      </c>
      <c r="H13" s="17">
        <v>4.0</v>
      </c>
      <c r="I13" s="19">
        <f t="shared" si="1"/>
        <v>0</v>
      </c>
      <c r="J13" s="20">
        <v>0.0</v>
      </c>
      <c r="K13" s="19">
        <f t="shared" si="2"/>
        <v>0</v>
      </c>
      <c r="L13" s="20">
        <v>0.0</v>
      </c>
      <c r="M13" s="19">
        <f t="shared" si="3"/>
        <v>0</v>
      </c>
      <c r="N13" s="20">
        <v>0.0</v>
      </c>
      <c r="O13" s="19">
        <f t="shared" si="4"/>
        <v>0</v>
      </c>
      <c r="P13" s="20">
        <v>0.0</v>
      </c>
      <c r="Q13" s="19">
        <f t="shared" si="5"/>
        <v>0</v>
      </c>
      <c r="R13" s="20">
        <v>0.0</v>
      </c>
      <c r="S13" s="19">
        <f t="shared" si="6"/>
        <v>0</v>
      </c>
      <c r="T13" s="20">
        <v>0.0</v>
      </c>
      <c r="U13" s="19">
        <f t="shared" si="7"/>
        <v>0</v>
      </c>
      <c r="V13" s="20">
        <v>0.0</v>
      </c>
      <c r="W13" s="19">
        <f t="shared" si="8"/>
        <v>0</v>
      </c>
      <c r="X13" s="20">
        <v>0.0</v>
      </c>
      <c r="Y13" s="19">
        <f t="shared" si="9"/>
        <v>0</v>
      </c>
      <c r="Z13" s="20">
        <v>0.0</v>
      </c>
      <c r="AA13" s="19">
        <f t="shared" si="10"/>
        <v>0</v>
      </c>
      <c r="AB13" s="23">
        <f t="shared" si="11"/>
        <v>4</v>
      </c>
      <c r="AC13" s="23">
        <f t="shared" si="12"/>
        <v>0</v>
      </c>
    </row>
    <row r="14" ht="31.5" customHeight="1">
      <c r="A14" s="24" t="s">
        <v>123</v>
      </c>
      <c r="B14" s="11" t="s">
        <v>124</v>
      </c>
      <c r="C14" s="12" t="s">
        <v>126</v>
      </c>
      <c r="D14" s="13" t="s">
        <v>127</v>
      </c>
      <c r="E14" s="14" t="s">
        <v>41</v>
      </c>
      <c r="F14" s="15" t="s">
        <v>43</v>
      </c>
      <c r="G14" s="16">
        <v>6.0</v>
      </c>
      <c r="H14" s="20">
        <v>0.0</v>
      </c>
      <c r="I14" s="19">
        <f t="shared" si="1"/>
        <v>6</v>
      </c>
      <c r="J14" s="20">
        <v>0.0</v>
      </c>
      <c r="K14" s="19">
        <f t="shared" si="2"/>
        <v>6</v>
      </c>
      <c r="L14" s="17">
        <v>3.0</v>
      </c>
      <c r="M14" s="19">
        <f t="shared" si="3"/>
        <v>3</v>
      </c>
      <c r="N14" s="17">
        <v>3.0</v>
      </c>
      <c r="O14" s="19">
        <f t="shared" si="4"/>
        <v>0</v>
      </c>
      <c r="P14" s="20">
        <v>0.0</v>
      </c>
      <c r="Q14" s="19">
        <f t="shared" si="5"/>
        <v>0</v>
      </c>
      <c r="R14" s="20">
        <v>0.0</v>
      </c>
      <c r="S14" s="19">
        <f t="shared" si="6"/>
        <v>0</v>
      </c>
      <c r="T14" s="20">
        <v>0.0</v>
      </c>
      <c r="U14" s="19">
        <f t="shared" si="7"/>
        <v>0</v>
      </c>
      <c r="V14" s="20">
        <v>0.0</v>
      </c>
      <c r="W14" s="19">
        <f t="shared" si="8"/>
        <v>0</v>
      </c>
      <c r="X14" s="20">
        <v>0.0</v>
      </c>
      <c r="Y14" s="19">
        <f t="shared" si="9"/>
        <v>0</v>
      </c>
      <c r="Z14" s="20">
        <v>0.0</v>
      </c>
      <c r="AA14" s="19">
        <f t="shared" si="10"/>
        <v>0</v>
      </c>
      <c r="AB14" s="23">
        <f t="shared" si="11"/>
        <v>6</v>
      </c>
      <c r="AC14" s="23">
        <f t="shared" si="12"/>
        <v>0</v>
      </c>
    </row>
    <row r="15" ht="31.5" customHeight="1">
      <c r="A15" s="24"/>
      <c r="B15" s="11"/>
      <c r="C15" s="12" t="s">
        <v>135</v>
      </c>
      <c r="D15" s="13" t="s">
        <v>137</v>
      </c>
      <c r="E15" s="14" t="s">
        <v>41</v>
      </c>
      <c r="F15" s="15" t="s">
        <v>43</v>
      </c>
      <c r="G15" s="16">
        <v>7.0</v>
      </c>
      <c r="H15" s="20">
        <v>0.0</v>
      </c>
      <c r="I15" s="19">
        <f t="shared" si="1"/>
        <v>7</v>
      </c>
      <c r="J15" s="20">
        <v>0.0</v>
      </c>
      <c r="K15" s="19">
        <f t="shared" si="2"/>
        <v>7</v>
      </c>
      <c r="L15" s="20">
        <v>0.0</v>
      </c>
      <c r="M15" s="19">
        <f t="shared" si="3"/>
        <v>7</v>
      </c>
      <c r="N15" s="17">
        <v>5.0</v>
      </c>
      <c r="O15" s="19">
        <f t="shared" si="4"/>
        <v>2</v>
      </c>
      <c r="P15" s="17">
        <v>2.0</v>
      </c>
      <c r="Q15" s="19">
        <f t="shared" si="5"/>
        <v>0</v>
      </c>
      <c r="R15" s="20">
        <v>0.0</v>
      </c>
      <c r="S15" s="19">
        <f t="shared" si="6"/>
        <v>0</v>
      </c>
      <c r="T15" s="20">
        <v>0.0</v>
      </c>
      <c r="U15" s="19">
        <f t="shared" si="7"/>
        <v>0</v>
      </c>
      <c r="V15" s="20">
        <v>0.0</v>
      </c>
      <c r="W15" s="19">
        <f t="shared" si="8"/>
        <v>0</v>
      </c>
      <c r="X15" s="20">
        <v>0.0</v>
      </c>
      <c r="Y15" s="19">
        <f t="shared" si="9"/>
        <v>0</v>
      </c>
      <c r="Z15" s="20">
        <v>0.0</v>
      </c>
      <c r="AA15" s="19">
        <f t="shared" si="10"/>
        <v>0</v>
      </c>
      <c r="AB15" s="23">
        <f t="shared" si="11"/>
        <v>7</v>
      </c>
      <c r="AC15" s="23">
        <f t="shared" si="12"/>
        <v>0</v>
      </c>
    </row>
    <row r="16" ht="31.5" customHeight="1">
      <c r="A16" s="24"/>
      <c r="B16" s="11"/>
      <c r="C16" s="12" t="s">
        <v>144</v>
      </c>
      <c r="D16" s="13" t="s">
        <v>145</v>
      </c>
      <c r="E16" s="14" t="s">
        <v>41</v>
      </c>
      <c r="F16" s="15" t="s">
        <v>43</v>
      </c>
      <c r="G16" s="16">
        <v>5.0</v>
      </c>
      <c r="H16" s="20">
        <v>0.0</v>
      </c>
      <c r="I16" s="19">
        <f t="shared" si="1"/>
        <v>5</v>
      </c>
      <c r="J16" s="20">
        <v>0.0</v>
      </c>
      <c r="K16" s="19">
        <f t="shared" si="2"/>
        <v>5</v>
      </c>
      <c r="L16" s="20">
        <v>0.0</v>
      </c>
      <c r="M16" s="19">
        <f t="shared" si="3"/>
        <v>5</v>
      </c>
      <c r="N16" s="20">
        <v>0.0</v>
      </c>
      <c r="O16" s="19">
        <f t="shared" si="4"/>
        <v>5</v>
      </c>
      <c r="P16" s="17">
        <v>5.0</v>
      </c>
      <c r="Q16" s="19">
        <f t="shared" si="5"/>
        <v>0</v>
      </c>
      <c r="R16" s="20">
        <v>0.0</v>
      </c>
      <c r="S16" s="19">
        <f t="shared" si="6"/>
        <v>0</v>
      </c>
      <c r="T16" s="20">
        <v>0.0</v>
      </c>
      <c r="U16" s="19">
        <f t="shared" si="7"/>
        <v>0</v>
      </c>
      <c r="V16" s="20">
        <v>0.0</v>
      </c>
      <c r="W16" s="19">
        <f t="shared" si="8"/>
        <v>0</v>
      </c>
      <c r="X16" s="20">
        <v>0.0</v>
      </c>
      <c r="Y16" s="19">
        <f t="shared" si="9"/>
        <v>0</v>
      </c>
      <c r="Z16" s="20">
        <v>0.0</v>
      </c>
      <c r="AA16" s="19">
        <f t="shared" si="10"/>
        <v>0</v>
      </c>
      <c r="AB16" s="23">
        <f t="shared" si="11"/>
        <v>5</v>
      </c>
      <c r="AC16" s="23">
        <f t="shared" si="12"/>
        <v>0</v>
      </c>
    </row>
    <row r="17" ht="31.5" customHeight="1">
      <c r="A17" s="24"/>
      <c r="B17" s="11"/>
      <c r="C17" s="12" t="s">
        <v>154</v>
      </c>
      <c r="D17" s="13" t="s">
        <v>155</v>
      </c>
      <c r="E17" s="14" t="s">
        <v>73</v>
      </c>
      <c r="F17" s="15" t="s">
        <v>43</v>
      </c>
      <c r="G17" s="16">
        <v>4.0</v>
      </c>
      <c r="H17" s="20">
        <v>0.0</v>
      </c>
      <c r="I17" s="19">
        <f t="shared" si="1"/>
        <v>4</v>
      </c>
      <c r="J17" s="17">
        <v>4.0</v>
      </c>
      <c r="K17" s="19">
        <f t="shared" si="2"/>
        <v>0</v>
      </c>
      <c r="L17" s="20">
        <v>0.0</v>
      </c>
      <c r="M17" s="19">
        <f t="shared" si="3"/>
        <v>0</v>
      </c>
      <c r="N17" s="20">
        <v>0.0</v>
      </c>
      <c r="O17" s="19">
        <f t="shared" si="4"/>
        <v>0</v>
      </c>
      <c r="P17" s="20">
        <v>0.0</v>
      </c>
      <c r="Q17" s="19">
        <f t="shared" si="5"/>
        <v>0</v>
      </c>
      <c r="R17" s="20">
        <v>0.0</v>
      </c>
      <c r="S17" s="19">
        <f t="shared" si="6"/>
        <v>0</v>
      </c>
      <c r="T17" s="20">
        <v>0.0</v>
      </c>
      <c r="U17" s="19">
        <f t="shared" si="7"/>
        <v>0</v>
      </c>
      <c r="V17" s="20">
        <v>0.0</v>
      </c>
      <c r="W17" s="19">
        <f t="shared" si="8"/>
        <v>0</v>
      </c>
      <c r="X17" s="20">
        <v>0.0</v>
      </c>
      <c r="Y17" s="19">
        <f t="shared" si="9"/>
        <v>0</v>
      </c>
      <c r="Z17" s="20">
        <v>0.0</v>
      </c>
      <c r="AA17" s="19">
        <f t="shared" si="10"/>
        <v>0</v>
      </c>
      <c r="AB17" s="23">
        <f t="shared" si="11"/>
        <v>4</v>
      </c>
      <c r="AC17" s="23">
        <f t="shared" si="12"/>
        <v>0</v>
      </c>
    </row>
    <row r="18" ht="31.5" customHeight="1">
      <c r="A18" s="24" t="s">
        <v>160</v>
      </c>
      <c r="B18" s="11" t="s">
        <v>161</v>
      </c>
      <c r="C18" s="12" t="s">
        <v>162</v>
      </c>
      <c r="D18" s="13" t="s">
        <v>163</v>
      </c>
      <c r="E18" s="14" t="s">
        <v>41</v>
      </c>
      <c r="F18" s="15" t="s">
        <v>43</v>
      </c>
      <c r="G18" s="16">
        <v>5.0</v>
      </c>
      <c r="H18" s="20">
        <v>0.0</v>
      </c>
      <c r="I18" s="19">
        <f t="shared" si="1"/>
        <v>5</v>
      </c>
      <c r="J18" s="20">
        <v>0.0</v>
      </c>
      <c r="K18" s="19">
        <f t="shared" si="2"/>
        <v>5</v>
      </c>
      <c r="L18" s="20">
        <v>0.0</v>
      </c>
      <c r="M18" s="19">
        <f t="shared" si="3"/>
        <v>5</v>
      </c>
      <c r="N18" s="20">
        <v>0.0</v>
      </c>
      <c r="O18" s="19">
        <f t="shared" si="4"/>
        <v>5</v>
      </c>
      <c r="P18" s="17">
        <v>1.0</v>
      </c>
      <c r="Q18" s="19">
        <f t="shared" si="5"/>
        <v>4</v>
      </c>
      <c r="R18" s="17">
        <v>4.0</v>
      </c>
      <c r="S18" s="19">
        <f t="shared" si="6"/>
        <v>0</v>
      </c>
      <c r="T18" s="20">
        <v>0.0</v>
      </c>
      <c r="U18" s="19">
        <f t="shared" si="7"/>
        <v>0</v>
      </c>
      <c r="V18" s="20">
        <v>0.0</v>
      </c>
      <c r="W18" s="19">
        <f t="shared" si="8"/>
        <v>0</v>
      </c>
      <c r="X18" s="20">
        <v>0.0</v>
      </c>
      <c r="Y18" s="19">
        <f t="shared" si="9"/>
        <v>0</v>
      </c>
      <c r="Z18" s="20">
        <v>0.0</v>
      </c>
      <c r="AA18" s="19">
        <f t="shared" si="10"/>
        <v>0</v>
      </c>
      <c r="AB18" s="23">
        <f t="shared" si="11"/>
        <v>5</v>
      </c>
      <c r="AC18" s="23">
        <f t="shared" si="12"/>
        <v>0</v>
      </c>
    </row>
    <row r="19" ht="31.5" customHeight="1">
      <c r="A19" s="24"/>
      <c r="B19" s="11"/>
      <c r="C19" s="12" t="s">
        <v>174</v>
      </c>
      <c r="D19" s="13" t="s">
        <v>175</v>
      </c>
      <c r="E19" s="14" t="s">
        <v>41</v>
      </c>
      <c r="F19" s="15" t="s">
        <v>43</v>
      </c>
      <c r="G19" s="16">
        <v>5.0</v>
      </c>
      <c r="H19" s="20">
        <v>0.0</v>
      </c>
      <c r="I19" s="19">
        <f t="shared" si="1"/>
        <v>5</v>
      </c>
      <c r="J19" s="20">
        <v>0.0</v>
      </c>
      <c r="K19" s="19">
        <f t="shared" si="2"/>
        <v>5</v>
      </c>
      <c r="L19" s="20">
        <v>0.0</v>
      </c>
      <c r="M19" s="19">
        <f t="shared" si="3"/>
        <v>5</v>
      </c>
      <c r="N19" s="20">
        <v>0.0</v>
      </c>
      <c r="O19" s="19">
        <f t="shared" si="4"/>
        <v>5</v>
      </c>
      <c r="P19" s="20">
        <v>0.0</v>
      </c>
      <c r="Q19" s="19">
        <f t="shared" si="5"/>
        <v>5</v>
      </c>
      <c r="R19" s="17">
        <v>4.0</v>
      </c>
      <c r="S19" s="19">
        <f t="shared" si="6"/>
        <v>1</v>
      </c>
      <c r="T19" s="17">
        <v>1.0</v>
      </c>
      <c r="U19" s="19">
        <f t="shared" si="7"/>
        <v>0</v>
      </c>
      <c r="V19" s="20">
        <v>0.0</v>
      </c>
      <c r="W19" s="19">
        <f t="shared" si="8"/>
        <v>0</v>
      </c>
      <c r="X19" s="20">
        <v>0.0</v>
      </c>
      <c r="Y19" s="19">
        <f t="shared" si="9"/>
        <v>0</v>
      </c>
      <c r="Z19" s="20">
        <v>0.0</v>
      </c>
      <c r="AA19" s="19">
        <f t="shared" si="10"/>
        <v>0</v>
      </c>
      <c r="AB19" s="23">
        <f t="shared" si="11"/>
        <v>5</v>
      </c>
      <c r="AC19" s="23">
        <f t="shared" si="12"/>
        <v>0</v>
      </c>
    </row>
    <row r="20" ht="31.5" customHeight="1">
      <c r="A20" s="24"/>
      <c r="B20" s="11"/>
      <c r="C20" s="12" t="s">
        <v>182</v>
      </c>
      <c r="D20" s="13" t="s">
        <v>183</v>
      </c>
      <c r="E20" s="14" t="s">
        <v>41</v>
      </c>
      <c r="F20" s="15" t="s">
        <v>43</v>
      </c>
      <c r="G20" s="16">
        <v>5.0</v>
      </c>
      <c r="H20" s="20">
        <v>0.0</v>
      </c>
      <c r="I20" s="19">
        <f t="shared" si="1"/>
        <v>5</v>
      </c>
      <c r="J20" s="20">
        <v>0.0</v>
      </c>
      <c r="K20" s="19">
        <f t="shared" si="2"/>
        <v>5</v>
      </c>
      <c r="L20" s="20">
        <v>0.0</v>
      </c>
      <c r="M20" s="19">
        <f t="shared" si="3"/>
        <v>5</v>
      </c>
      <c r="N20" s="20">
        <v>0.0</v>
      </c>
      <c r="O20" s="19">
        <f t="shared" si="4"/>
        <v>5</v>
      </c>
      <c r="P20" s="20">
        <v>0.0</v>
      </c>
      <c r="Q20" s="19">
        <f t="shared" si="5"/>
        <v>5</v>
      </c>
      <c r="R20" s="20">
        <v>0.0</v>
      </c>
      <c r="S20" s="19">
        <f t="shared" si="6"/>
        <v>5</v>
      </c>
      <c r="T20" s="17">
        <v>5.0</v>
      </c>
      <c r="U20" s="19">
        <f t="shared" si="7"/>
        <v>0</v>
      </c>
      <c r="V20" s="20">
        <v>0.0</v>
      </c>
      <c r="W20" s="19">
        <f t="shared" si="8"/>
        <v>0</v>
      </c>
      <c r="X20" s="20">
        <v>0.0</v>
      </c>
      <c r="Y20" s="19">
        <f t="shared" si="9"/>
        <v>0</v>
      </c>
      <c r="Z20" s="20">
        <v>0.0</v>
      </c>
      <c r="AA20" s="19">
        <f t="shared" si="10"/>
        <v>0</v>
      </c>
      <c r="AB20" s="23">
        <f t="shared" si="11"/>
        <v>5</v>
      </c>
      <c r="AC20" s="23">
        <f t="shared" si="12"/>
        <v>0</v>
      </c>
    </row>
    <row r="21" ht="31.5" customHeight="1">
      <c r="A21" s="24"/>
      <c r="B21" s="11"/>
      <c r="C21" s="12" t="s">
        <v>188</v>
      </c>
      <c r="D21" s="13" t="s">
        <v>189</v>
      </c>
      <c r="E21" s="14" t="s">
        <v>41</v>
      </c>
      <c r="F21" s="15" t="s">
        <v>43</v>
      </c>
      <c r="G21" s="16">
        <v>4.0</v>
      </c>
      <c r="H21" s="20">
        <v>0.0</v>
      </c>
      <c r="I21" s="19">
        <f t="shared" si="1"/>
        <v>4</v>
      </c>
      <c r="J21" s="20">
        <v>0.0</v>
      </c>
      <c r="K21" s="19">
        <f t="shared" si="2"/>
        <v>4</v>
      </c>
      <c r="L21" s="20">
        <v>0.0</v>
      </c>
      <c r="M21" s="19">
        <f t="shared" si="3"/>
        <v>4</v>
      </c>
      <c r="N21" s="20">
        <v>0.0</v>
      </c>
      <c r="O21" s="19">
        <f t="shared" si="4"/>
        <v>4</v>
      </c>
      <c r="P21" s="20">
        <v>0.0</v>
      </c>
      <c r="Q21" s="19">
        <f t="shared" si="5"/>
        <v>4</v>
      </c>
      <c r="R21" s="20">
        <v>0.0</v>
      </c>
      <c r="S21" s="19">
        <f t="shared" si="6"/>
        <v>4</v>
      </c>
      <c r="T21" s="17">
        <v>2.0</v>
      </c>
      <c r="U21" s="19">
        <f t="shared" si="7"/>
        <v>2</v>
      </c>
      <c r="V21" s="17">
        <v>2.0</v>
      </c>
      <c r="W21" s="19">
        <f t="shared" si="8"/>
        <v>0</v>
      </c>
      <c r="X21" s="20">
        <v>0.0</v>
      </c>
      <c r="Y21" s="19">
        <f t="shared" si="9"/>
        <v>0</v>
      </c>
      <c r="Z21" s="20">
        <v>0.0</v>
      </c>
      <c r="AA21" s="19">
        <f t="shared" si="10"/>
        <v>0</v>
      </c>
      <c r="AB21" s="23">
        <f t="shared" si="11"/>
        <v>4</v>
      </c>
      <c r="AC21" s="23">
        <f t="shared" si="12"/>
        <v>0</v>
      </c>
    </row>
    <row r="22" ht="31.5" customHeight="1">
      <c r="A22" s="24"/>
      <c r="B22" s="11"/>
      <c r="C22" s="12" t="s">
        <v>195</v>
      </c>
      <c r="D22" s="13" t="s">
        <v>196</v>
      </c>
      <c r="E22" s="14" t="s">
        <v>73</v>
      </c>
      <c r="F22" s="15" t="s">
        <v>43</v>
      </c>
      <c r="G22" s="16">
        <v>4.0</v>
      </c>
      <c r="H22" s="20">
        <v>0.0</v>
      </c>
      <c r="I22" s="19">
        <f t="shared" si="1"/>
        <v>4</v>
      </c>
      <c r="J22" s="17">
        <v>4.0</v>
      </c>
      <c r="K22" s="19">
        <f t="shared" si="2"/>
        <v>0</v>
      </c>
      <c r="L22" s="20">
        <v>0.0</v>
      </c>
      <c r="M22" s="19">
        <f t="shared" si="3"/>
        <v>0</v>
      </c>
      <c r="N22" s="20">
        <v>0.0</v>
      </c>
      <c r="O22" s="19">
        <f t="shared" si="4"/>
        <v>0</v>
      </c>
      <c r="P22" s="20">
        <v>0.0</v>
      </c>
      <c r="Q22" s="19">
        <f t="shared" si="5"/>
        <v>0</v>
      </c>
      <c r="R22" s="20">
        <v>0.0</v>
      </c>
      <c r="S22" s="19">
        <f t="shared" si="6"/>
        <v>0</v>
      </c>
      <c r="T22" s="20">
        <v>0.0</v>
      </c>
      <c r="U22" s="19">
        <f t="shared" si="7"/>
        <v>0</v>
      </c>
      <c r="V22" s="20">
        <v>0.0</v>
      </c>
      <c r="W22" s="19">
        <f t="shared" si="8"/>
        <v>0</v>
      </c>
      <c r="X22" s="20">
        <v>0.0</v>
      </c>
      <c r="Y22" s="19">
        <f t="shared" si="9"/>
        <v>0</v>
      </c>
      <c r="Z22" s="20">
        <v>0.0</v>
      </c>
      <c r="AA22" s="19">
        <f t="shared" si="10"/>
        <v>0</v>
      </c>
      <c r="AB22" s="23">
        <f t="shared" si="11"/>
        <v>4</v>
      </c>
      <c r="AC22" s="23">
        <f t="shared" si="12"/>
        <v>0</v>
      </c>
    </row>
    <row r="23" ht="31.5" customHeight="1">
      <c r="A23" s="24" t="s">
        <v>199</v>
      </c>
      <c r="B23" s="11" t="s">
        <v>200</v>
      </c>
      <c r="C23" s="12" t="s">
        <v>201</v>
      </c>
      <c r="D23" s="13" t="s">
        <v>202</v>
      </c>
      <c r="E23" s="14" t="s">
        <v>49</v>
      </c>
      <c r="F23" s="15" t="s">
        <v>43</v>
      </c>
      <c r="G23" s="16">
        <v>5.0</v>
      </c>
      <c r="H23" s="20">
        <v>0.0</v>
      </c>
      <c r="I23" s="19">
        <f t="shared" si="1"/>
        <v>5</v>
      </c>
      <c r="J23" s="17">
        <v>5.0</v>
      </c>
      <c r="K23" s="19">
        <f t="shared" si="2"/>
        <v>0</v>
      </c>
      <c r="L23" s="20">
        <v>0.0</v>
      </c>
      <c r="M23" s="19">
        <f t="shared" si="3"/>
        <v>0</v>
      </c>
      <c r="N23" s="20">
        <v>0.0</v>
      </c>
      <c r="O23" s="19">
        <f t="shared" si="4"/>
        <v>0</v>
      </c>
      <c r="P23" s="20">
        <v>0.0</v>
      </c>
      <c r="Q23" s="19">
        <f t="shared" si="5"/>
        <v>0</v>
      </c>
      <c r="R23" s="20">
        <v>0.0</v>
      </c>
      <c r="S23" s="19">
        <f t="shared" si="6"/>
        <v>0</v>
      </c>
      <c r="T23" s="20">
        <v>0.0</v>
      </c>
      <c r="U23" s="19">
        <f t="shared" si="7"/>
        <v>0</v>
      </c>
      <c r="V23" s="20">
        <v>0.0</v>
      </c>
      <c r="W23" s="19">
        <f t="shared" si="8"/>
        <v>0</v>
      </c>
      <c r="X23" s="20">
        <v>0.0</v>
      </c>
      <c r="Y23" s="19">
        <f t="shared" si="9"/>
        <v>0</v>
      </c>
      <c r="Z23" s="20">
        <v>0.0</v>
      </c>
      <c r="AA23" s="19">
        <f t="shared" si="10"/>
        <v>0</v>
      </c>
      <c r="AB23" s="23">
        <f t="shared" si="11"/>
        <v>5</v>
      </c>
      <c r="AC23" s="23">
        <f t="shared" si="12"/>
        <v>0</v>
      </c>
    </row>
    <row r="24" ht="31.5" customHeight="1">
      <c r="A24" s="24"/>
      <c r="B24" s="11"/>
      <c r="C24" s="12" t="s">
        <v>205</v>
      </c>
      <c r="D24" s="13" t="s">
        <v>206</v>
      </c>
      <c r="E24" s="14" t="s">
        <v>41</v>
      </c>
      <c r="F24" s="15" t="s">
        <v>43</v>
      </c>
      <c r="G24" s="16">
        <v>6.0</v>
      </c>
      <c r="H24" s="20">
        <v>0.0</v>
      </c>
      <c r="I24" s="19">
        <f t="shared" si="1"/>
        <v>6</v>
      </c>
      <c r="J24" s="20">
        <v>0.0</v>
      </c>
      <c r="K24" s="19">
        <f t="shared" si="2"/>
        <v>6</v>
      </c>
      <c r="L24" s="20">
        <v>0.0</v>
      </c>
      <c r="M24" s="19">
        <f t="shared" si="3"/>
        <v>6</v>
      </c>
      <c r="N24" s="20">
        <v>0.0</v>
      </c>
      <c r="O24" s="19">
        <f t="shared" si="4"/>
        <v>6</v>
      </c>
      <c r="P24" s="20">
        <v>0.0</v>
      </c>
      <c r="Q24" s="19">
        <f t="shared" si="5"/>
        <v>6</v>
      </c>
      <c r="R24" s="20">
        <v>0.0</v>
      </c>
      <c r="S24" s="19">
        <f t="shared" si="6"/>
        <v>6</v>
      </c>
      <c r="T24" s="20">
        <v>0.0</v>
      </c>
      <c r="U24" s="19">
        <f t="shared" si="7"/>
        <v>6</v>
      </c>
      <c r="V24" s="17">
        <v>6.0</v>
      </c>
      <c r="W24" s="19">
        <f t="shared" si="8"/>
        <v>0</v>
      </c>
      <c r="X24" s="20">
        <v>0.0</v>
      </c>
      <c r="Y24" s="19">
        <f t="shared" si="9"/>
        <v>0</v>
      </c>
      <c r="Z24" s="20">
        <v>0.0</v>
      </c>
      <c r="AA24" s="19">
        <f t="shared" si="10"/>
        <v>0</v>
      </c>
      <c r="AB24" s="23">
        <f t="shared" si="11"/>
        <v>6</v>
      </c>
      <c r="AC24" s="23">
        <f t="shared" si="12"/>
        <v>0</v>
      </c>
    </row>
    <row r="25" ht="31.5" customHeight="1">
      <c r="A25" s="24"/>
      <c r="B25" s="11"/>
      <c r="C25" s="12" t="s">
        <v>209</v>
      </c>
      <c r="D25" s="13" t="s">
        <v>210</v>
      </c>
      <c r="E25" s="14" t="s">
        <v>41</v>
      </c>
      <c r="F25" s="15" t="s">
        <v>43</v>
      </c>
      <c r="G25" s="16">
        <v>7.0</v>
      </c>
      <c r="H25" s="20">
        <v>0.0</v>
      </c>
      <c r="I25" s="19">
        <f t="shared" si="1"/>
        <v>7</v>
      </c>
      <c r="J25" s="20">
        <v>0.0</v>
      </c>
      <c r="K25" s="19">
        <f t="shared" si="2"/>
        <v>7</v>
      </c>
      <c r="L25" s="20">
        <v>0.0</v>
      </c>
      <c r="M25" s="19">
        <f t="shared" si="3"/>
        <v>7</v>
      </c>
      <c r="N25" s="20">
        <v>0.0</v>
      </c>
      <c r="O25" s="19">
        <f t="shared" si="4"/>
        <v>7</v>
      </c>
      <c r="P25" s="20">
        <v>0.0</v>
      </c>
      <c r="Q25" s="19">
        <f t="shared" si="5"/>
        <v>7</v>
      </c>
      <c r="R25" s="20">
        <v>0.0</v>
      </c>
      <c r="S25" s="19">
        <f t="shared" si="6"/>
        <v>7</v>
      </c>
      <c r="T25" s="20">
        <v>0.0</v>
      </c>
      <c r="U25" s="19">
        <f t="shared" si="7"/>
        <v>7</v>
      </c>
      <c r="V25" s="20">
        <v>0.0</v>
      </c>
      <c r="W25" s="19">
        <f t="shared" si="8"/>
        <v>7</v>
      </c>
      <c r="X25" s="17">
        <v>7.0</v>
      </c>
      <c r="Y25" s="19">
        <f t="shared" si="9"/>
        <v>0</v>
      </c>
      <c r="Z25" s="20">
        <v>0.0</v>
      </c>
      <c r="AA25" s="19">
        <f t="shared" si="10"/>
        <v>0</v>
      </c>
      <c r="AB25" s="23">
        <f t="shared" si="11"/>
        <v>7</v>
      </c>
      <c r="AC25" s="23">
        <f t="shared" si="12"/>
        <v>0</v>
      </c>
    </row>
    <row r="26" ht="31.5" customHeight="1">
      <c r="A26" s="24"/>
      <c r="B26" s="11"/>
      <c r="C26" s="12" t="s">
        <v>211</v>
      </c>
      <c r="D26" s="13" t="s">
        <v>213</v>
      </c>
      <c r="E26" s="14" t="s">
        <v>73</v>
      </c>
      <c r="F26" s="15" t="s">
        <v>43</v>
      </c>
      <c r="G26" s="16">
        <v>4.0</v>
      </c>
      <c r="H26" s="20">
        <v>0.0</v>
      </c>
      <c r="I26" s="19">
        <f t="shared" si="1"/>
        <v>4</v>
      </c>
      <c r="J26" s="20">
        <v>0.0</v>
      </c>
      <c r="K26" s="19">
        <f t="shared" si="2"/>
        <v>4</v>
      </c>
      <c r="L26" s="17">
        <v>4.0</v>
      </c>
      <c r="M26" s="19">
        <f t="shared" si="3"/>
        <v>0</v>
      </c>
      <c r="N26" s="20">
        <v>0.0</v>
      </c>
      <c r="O26" s="19">
        <f t="shared" si="4"/>
        <v>0</v>
      </c>
      <c r="P26" s="20">
        <v>0.0</v>
      </c>
      <c r="Q26" s="19">
        <f t="shared" si="5"/>
        <v>0</v>
      </c>
      <c r="R26" s="20">
        <v>0.0</v>
      </c>
      <c r="S26" s="19">
        <f t="shared" si="6"/>
        <v>0</v>
      </c>
      <c r="T26" s="20">
        <v>0.0</v>
      </c>
      <c r="U26" s="19">
        <f t="shared" si="7"/>
        <v>0</v>
      </c>
      <c r="V26" s="20">
        <v>0.0</v>
      </c>
      <c r="W26" s="19">
        <f t="shared" si="8"/>
        <v>0</v>
      </c>
      <c r="X26" s="20">
        <v>0.0</v>
      </c>
      <c r="Y26" s="19">
        <f t="shared" si="9"/>
        <v>0</v>
      </c>
      <c r="Z26" s="20">
        <v>0.0</v>
      </c>
      <c r="AA26" s="19">
        <f t="shared" si="10"/>
        <v>0</v>
      </c>
      <c r="AB26" s="23">
        <f t="shared" si="11"/>
        <v>4</v>
      </c>
      <c r="AC26" s="23">
        <f t="shared" si="12"/>
        <v>0</v>
      </c>
    </row>
    <row r="27" ht="15.75" customHeight="1">
      <c r="A27" s="27"/>
      <c r="B27" s="27"/>
      <c r="C27" s="27"/>
      <c r="D27" s="28" t="s">
        <v>190</v>
      </c>
      <c r="E27" s="27"/>
      <c r="F27" s="27"/>
      <c r="G27" s="29">
        <f t="shared" ref="G27:H27" si="13">SUM(G6:G26)</f>
        <v>105</v>
      </c>
      <c r="H27" s="30">
        <f t="shared" si="13"/>
        <v>24</v>
      </c>
      <c r="I27" s="27"/>
      <c r="J27" s="30">
        <f>SUM(J6:J26)</f>
        <v>22</v>
      </c>
      <c r="K27" s="27"/>
      <c r="L27" s="30">
        <f>SUM(L6:L26)</f>
        <v>12</v>
      </c>
      <c r="M27" s="27"/>
      <c r="N27" s="30">
        <f>SUM(N6:N26)</f>
        <v>8</v>
      </c>
      <c r="O27" s="27"/>
      <c r="P27" s="30">
        <f>SUM(P6:P26)</f>
        <v>8</v>
      </c>
      <c r="Q27" s="27"/>
      <c r="R27" s="30">
        <f>SUM(R6:R26)</f>
        <v>8</v>
      </c>
      <c r="S27" s="27"/>
      <c r="T27" s="30">
        <f>SUM(T6:T26)</f>
        <v>8</v>
      </c>
      <c r="U27" s="27"/>
      <c r="V27" s="30">
        <f>SUM(V6:V26)</f>
        <v>8</v>
      </c>
      <c r="W27" s="27"/>
      <c r="X27" s="30">
        <f>SUM(X6:X26)</f>
        <v>7</v>
      </c>
      <c r="Y27" s="27"/>
      <c r="Z27" s="30">
        <f>SUM(Z6:Z26)</f>
        <v>0</v>
      </c>
      <c r="AA27" s="27"/>
      <c r="AB27" s="30">
        <f t="shared" ref="AB27:AC27" si="14">SUM(AB6:AB26)</f>
        <v>105</v>
      </c>
      <c r="AC27" s="30">
        <f t="shared" si="14"/>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R4:S4"/>
    <mergeCell ref="T4:U4"/>
    <mergeCell ref="V4:W4"/>
    <mergeCell ref="X4:Y4"/>
    <mergeCell ref="Z4:AA4"/>
    <mergeCell ref="A1:H1"/>
    <mergeCell ref="A2:H2"/>
    <mergeCell ref="H4:I4"/>
    <mergeCell ref="J4:K4"/>
    <mergeCell ref="L4:M4"/>
    <mergeCell ref="N4:O4"/>
    <mergeCell ref="P4:Q4"/>
  </mergeCells>
  <printOptions/>
  <pageMargins bottom="1.0" footer="0.0" header="0.0" left="0.35" right="0.35" top="1.0"/>
  <pageSetup paperSize="3" orientation="landscape"/>
  <headerFooter>
    <oddFooter>&amp;LSprint backlog 1 — Haircut Home Studio&amp;RTareas y horas del PDF</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4.43" defaultRowHeight="15.0"/>
  <cols>
    <col customWidth="1" min="1" max="1" width="14.0"/>
    <col customWidth="1" min="2" max="2" width="36.0"/>
    <col customWidth="1" min="3" max="3" width="16.0"/>
    <col customWidth="1" min="4" max="4" width="42.0"/>
    <col customWidth="1" min="5" max="5" width="18.0"/>
    <col customWidth="1" min="6" max="6" width="14.0"/>
    <col customWidth="1" min="7" max="7" width="10.0"/>
    <col customWidth="1" min="8" max="27" width="6.0"/>
    <col customWidth="1" min="28" max="28" width="11.0"/>
    <col customWidth="1" min="29" max="29" width="12.0"/>
  </cols>
  <sheetData>
    <row r="1" ht="24.0" customHeight="1">
      <c r="A1" s="1" t="s">
        <v>3</v>
      </c>
    </row>
    <row r="2">
      <c r="A2" s="3" t="s">
        <v>9</v>
      </c>
    </row>
    <row r="4" ht="21.75" customHeight="1">
      <c r="A4" s="4" t="s">
        <v>11</v>
      </c>
      <c r="B4" s="4" t="s">
        <v>16</v>
      </c>
      <c r="C4" s="4" t="s">
        <v>17</v>
      </c>
      <c r="D4" s="4" t="s">
        <v>18</v>
      </c>
      <c r="E4" s="4" t="s">
        <v>19</v>
      </c>
      <c r="F4" s="4" t="s">
        <v>20</v>
      </c>
      <c r="G4" s="4" t="s">
        <v>21</v>
      </c>
      <c r="H4" s="5" t="s">
        <v>22</v>
      </c>
      <c r="I4" s="6"/>
      <c r="J4" s="5" t="s">
        <v>23</v>
      </c>
      <c r="K4" s="6"/>
      <c r="L4" s="5" t="s">
        <v>24</v>
      </c>
      <c r="M4" s="6"/>
      <c r="N4" s="5" t="s">
        <v>25</v>
      </c>
      <c r="O4" s="6"/>
      <c r="P4" s="5" t="s">
        <v>26</v>
      </c>
      <c r="Q4" s="6"/>
      <c r="R4" s="5" t="s">
        <v>27</v>
      </c>
      <c r="S4" s="6"/>
      <c r="T4" s="5" t="s">
        <v>28</v>
      </c>
      <c r="U4" s="6"/>
      <c r="V4" s="5" t="s">
        <v>29</v>
      </c>
      <c r="W4" s="6"/>
      <c r="X4" s="5" t="s">
        <v>30</v>
      </c>
      <c r="Y4" s="6"/>
      <c r="Z4" s="5" t="s">
        <v>31</v>
      </c>
      <c r="AA4" s="6"/>
      <c r="AB4" s="4" t="s">
        <v>32</v>
      </c>
      <c r="AC4" s="4" t="s">
        <v>33</v>
      </c>
    </row>
    <row r="5">
      <c r="H5" s="7">
        <v>46279.0</v>
      </c>
      <c r="I5" s="8" t="s">
        <v>34</v>
      </c>
      <c r="J5" s="7">
        <v>46280.0</v>
      </c>
      <c r="K5" s="8" t="s">
        <v>34</v>
      </c>
      <c r="L5" s="7">
        <v>46281.0</v>
      </c>
      <c r="M5" s="8" t="s">
        <v>34</v>
      </c>
      <c r="N5" s="7">
        <v>46282.0</v>
      </c>
      <c r="O5" s="8" t="s">
        <v>34</v>
      </c>
      <c r="P5" s="9">
        <v>46283.0</v>
      </c>
      <c r="Q5" s="8" t="s">
        <v>34</v>
      </c>
      <c r="R5" s="7">
        <v>46286.0</v>
      </c>
      <c r="S5" s="8" t="s">
        <v>34</v>
      </c>
      <c r="T5" s="7">
        <v>46287.0</v>
      </c>
      <c r="U5" s="8" t="s">
        <v>34</v>
      </c>
      <c r="V5" s="7">
        <v>46288.0</v>
      </c>
      <c r="W5" s="8" t="s">
        <v>34</v>
      </c>
      <c r="X5" s="7">
        <v>46289.0</v>
      </c>
      <c r="Y5" s="8" t="s">
        <v>34</v>
      </c>
      <c r="Z5" s="7">
        <v>46290.0</v>
      </c>
      <c r="AA5" s="8" t="s">
        <v>34</v>
      </c>
    </row>
    <row r="6" ht="31.5" customHeight="1">
      <c r="A6" s="10" t="s">
        <v>38</v>
      </c>
      <c r="B6" s="11" t="s">
        <v>40</v>
      </c>
      <c r="C6" s="12" t="s">
        <v>42</v>
      </c>
      <c r="D6" s="13" t="s">
        <v>44</v>
      </c>
      <c r="E6" s="14" t="s">
        <v>41</v>
      </c>
      <c r="F6" s="15" t="s">
        <v>43</v>
      </c>
      <c r="G6" s="16">
        <v>8.0</v>
      </c>
      <c r="H6" s="17">
        <v>8.0</v>
      </c>
      <c r="I6" s="19">
        <f t="shared" ref="I6:I18" si="1">G6-H6</f>
        <v>0</v>
      </c>
      <c r="J6" s="20">
        <v>0.0</v>
      </c>
      <c r="K6" s="19">
        <f t="shared" ref="K6:K18" si="2">I6-J6</f>
        <v>0</v>
      </c>
      <c r="L6" s="20">
        <v>0.0</v>
      </c>
      <c r="M6" s="19">
        <f t="shared" ref="M6:M18" si="3">K6-L6</f>
        <v>0</v>
      </c>
      <c r="N6" s="20">
        <v>0.0</v>
      </c>
      <c r="O6" s="19">
        <f t="shared" ref="O6:O18" si="4">M6-N6</f>
        <v>0</v>
      </c>
      <c r="P6" s="20">
        <v>0.0</v>
      </c>
      <c r="Q6" s="19">
        <f t="shared" ref="Q6:Q18" si="5">O6-P6</f>
        <v>0</v>
      </c>
      <c r="R6" s="20">
        <v>0.0</v>
      </c>
      <c r="S6" s="19">
        <f t="shared" ref="S6:S18" si="6">Q6-R6</f>
        <v>0</v>
      </c>
      <c r="T6" s="20">
        <v>0.0</v>
      </c>
      <c r="U6" s="19">
        <f t="shared" ref="U6:U18" si="7">S6-T6</f>
        <v>0</v>
      </c>
      <c r="V6" s="20">
        <v>0.0</v>
      </c>
      <c r="W6" s="19">
        <f t="shared" ref="W6:W18" si="8">U6-V6</f>
        <v>0</v>
      </c>
      <c r="X6" s="20">
        <v>0.0</v>
      </c>
      <c r="Y6" s="19">
        <f t="shared" ref="Y6:Y18" si="9">W6-X6</f>
        <v>0</v>
      </c>
      <c r="Z6" s="20">
        <v>0.0</v>
      </c>
      <c r="AA6" s="19">
        <f t="shared" ref="AA6:AA18" si="10">Y6-Z6</f>
        <v>0</v>
      </c>
      <c r="AB6" s="23">
        <f t="shared" ref="AB6:AB18" si="11">H6+J6+L6+N6+P6+R6+T6+V6+X6+Z6</f>
        <v>8</v>
      </c>
      <c r="AC6" s="23">
        <f t="shared" ref="AC6:AC18" si="12">AA6</f>
        <v>0</v>
      </c>
    </row>
    <row r="7" ht="31.5" customHeight="1">
      <c r="A7" s="10"/>
      <c r="B7" s="11"/>
      <c r="C7" s="12" t="s">
        <v>61</v>
      </c>
      <c r="D7" s="13" t="s">
        <v>62</v>
      </c>
      <c r="E7" s="14" t="s">
        <v>41</v>
      </c>
      <c r="F7" s="15" t="s">
        <v>43</v>
      </c>
      <c r="G7" s="16">
        <v>8.0</v>
      </c>
      <c r="H7" s="20">
        <v>0.0</v>
      </c>
      <c r="I7" s="19">
        <f t="shared" si="1"/>
        <v>8</v>
      </c>
      <c r="J7" s="17">
        <v>8.0</v>
      </c>
      <c r="K7" s="19">
        <f t="shared" si="2"/>
        <v>0</v>
      </c>
      <c r="L7" s="20">
        <v>0.0</v>
      </c>
      <c r="M7" s="19">
        <f t="shared" si="3"/>
        <v>0</v>
      </c>
      <c r="N7" s="20">
        <v>0.0</v>
      </c>
      <c r="O7" s="19">
        <f t="shared" si="4"/>
        <v>0</v>
      </c>
      <c r="P7" s="20">
        <v>0.0</v>
      </c>
      <c r="Q7" s="19">
        <f t="shared" si="5"/>
        <v>0</v>
      </c>
      <c r="R7" s="20">
        <v>0.0</v>
      </c>
      <c r="S7" s="19">
        <f t="shared" si="6"/>
        <v>0</v>
      </c>
      <c r="T7" s="20">
        <v>0.0</v>
      </c>
      <c r="U7" s="19">
        <f t="shared" si="7"/>
        <v>0</v>
      </c>
      <c r="V7" s="20">
        <v>0.0</v>
      </c>
      <c r="W7" s="19">
        <f t="shared" si="8"/>
        <v>0</v>
      </c>
      <c r="X7" s="20">
        <v>0.0</v>
      </c>
      <c r="Y7" s="19">
        <f t="shared" si="9"/>
        <v>0</v>
      </c>
      <c r="Z7" s="20">
        <v>0.0</v>
      </c>
      <c r="AA7" s="19">
        <f t="shared" si="10"/>
        <v>0</v>
      </c>
      <c r="AB7" s="23">
        <f t="shared" si="11"/>
        <v>8</v>
      </c>
      <c r="AC7" s="23">
        <f t="shared" si="12"/>
        <v>0</v>
      </c>
    </row>
    <row r="8" ht="31.5" customHeight="1">
      <c r="A8" s="10"/>
      <c r="B8" s="11"/>
      <c r="C8" s="12" t="s">
        <v>66</v>
      </c>
      <c r="D8" s="13" t="s">
        <v>68</v>
      </c>
      <c r="E8" s="14" t="s">
        <v>41</v>
      </c>
      <c r="F8" s="15" t="s">
        <v>43</v>
      </c>
      <c r="G8" s="16">
        <v>8.0</v>
      </c>
      <c r="H8" s="20">
        <v>0.0</v>
      </c>
      <c r="I8" s="19">
        <f t="shared" si="1"/>
        <v>8</v>
      </c>
      <c r="J8" s="20">
        <v>0.0</v>
      </c>
      <c r="K8" s="19">
        <f t="shared" si="2"/>
        <v>8</v>
      </c>
      <c r="L8" s="17">
        <v>8.0</v>
      </c>
      <c r="M8" s="19">
        <f t="shared" si="3"/>
        <v>0</v>
      </c>
      <c r="N8" s="20">
        <v>0.0</v>
      </c>
      <c r="O8" s="19">
        <f t="shared" si="4"/>
        <v>0</v>
      </c>
      <c r="P8" s="20">
        <v>0.0</v>
      </c>
      <c r="Q8" s="19">
        <f t="shared" si="5"/>
        <v>0</v>
      </c>
      <c r="R8" s="20">
        <v>0.0</v>
      </c>
      <c r="S8" s="19">
        <f t="shared" si="6"/>
        <v>0</v>
      </c>
      <c r="T8" s="20">
        <v>0.0</v>
      </c>
      <c r="U8" s="19">
        <f t="shared" si="7"/>
        <v>0</v>
      </c>
      <c r="V8" s="20">
        <v>0.0</v>
      </c>
      <c r="W8" s="19">
        <f t="shared" si="8"/>
        <v>0</v>
      </c>
      <c r="X8" s="20">
        <v>0.0</v>
      </c>
      <c r="Y8" s="19">
        <f t="shared" si="9"/>
        <v>0</v>
      </c>
      <c r="Z8" s="20">
        <v>0.0</v>
      </c>
      <c r="AA8" s="19">
        <f t="shared" si="10"/>
        <v>0</v>
      </c>
      <c r="AB8" s="23">
        <f t="shared" si="11"/>
        <v>8</v>
      </c>
      <c r="AC8" s="23">
        <f t="shared" si="12"/>
        <v>0</v>
      </c>
    </row>
    <row r="9" ht="31.5" customHeight="1">
      <c r="A9" s="10" t="s">
        <v>74</v>
      </c>
      <c r="B9" s="11" t="s">
        <v>75</v>
      </c>
      <c r="C9" s="12" t="s">
        <v>76</v>
      </c>
      <c r="D9" s="13" t="s">
        <v>78</v>
      </c>
      <c r="E9" s="14" t="s">
        <v>49</v>
      </c>
      <c r="F9" s="15" t="s">
        <v>43</v>
      </c>
      <c r="G9" s="16">
        <v>8.0</v>
      </c>
      <c r="H9" s="17">
        <v>8.0</v>
      </c>
      <c r="I9" s="19">
        <f t="shared" si="1"/>
        <v>0</v>
      </c>
      <c r="J9" s="20">
        <v>0.0</v>
      </c>
      <c r="K9" s="19">
        <f t="shared" si="2"/>
        <v>0</v>
      </c>
      <c r="L9" s="20">
        <v>0.0</v>
      </c>
      <c r="M9" s="19">
        <f t="shared" si="3"/>
        <v>0</v>
      </c>
      <c r="N9" s="20">
        <v>0.0</v>
      </c>
      <c r="O9" s="19">
        <f t="shared" si="4"/>
        <v>0</v>
      </c>
      <c r="P9" s="20">
        <v>0.0</v>
      </c>
      <c r="Q9" s="19">
        <f t="shared" si="5"/>
        <v>0</v>
      </c>
      <c r="R9" s="20">
        <v>0.0</v>
      </c>
      <c r="S9" s="19">
        <f t="shared" si="6"/>
        <v>0</v>
      </c>
      <c r="T9" s="20">
        <v>0.0</v>
      </c>
      <c r="U9" s="19">
        <f t="shared" si="7"/>
        <v>0</v>
      </c>
      <c r="V9" s="20">
        <v>0.0</v>
      </c>
      <c r="W9" s="19">
        <f t="shared" si="8"/>
        <v>0</v>
      </c>
      <c r="X9" s="20">
        <v>0.0</v>
      </c>
      <c r="Y9" s="19">
        <f t="shared" si="9"/>
        <v>0</v>
      </c>
      <c r="Z9" s="20">
        <v>0.0</v>
      </c>
      <c r="AA9" s="19">
        <f t="shared" si="10"/>
        <v>0</v>
      </c>
      <c r="AB9" s="23">
        <f t="shared" si="11"/>
        <v>8</v>
      </c>
      <c r="AC9" s="23">
        <f t="shared" si="12"/>
        <v>0</v>
      </c>
    </row>
    <row r="10" ht="31.5" customHeight="1">
      <c r="A10" s="10"/>
      <c r="B10" s="11"/>
      <c r="C10" s="12" t="s">
        <v>90</v>
      </c>
      <c r="D10" s="13" t="s">
        <v>91</v>
      </c>
      <c r="E10" s="14" t="s">
        <v>49</v>
      </c>
      <c r="F10" s="15" t="s">
        <v>43</v>
      </c>
      <c r="G10" s="16">
        <v>7.0</v>
      </c>
      <c r="H10" s="20">
        <v>0.0</v>
      </c>
      <c r="I10" s="19">
        <f t="shared" si="1"/>
        <v>7</v>
      </c>
      <c r="J10" s="17">
        <v>7.0</v>
      </c>
      <c r="K10" s="19">
        <f t="shared" si="2"/>
        <v>0</v>
      </c>
      <c r="L10" s="20">
        <v>0.0</v>
      </c>
      <c r="M10" s="19">
        <f t="shared" si="3"/>
        <v>0</v>
      </c>
      <c r="N10" s="20">
        <v>0.0</v>
      </c>
      <c r="O10" s="19">
        <f t="shared" si="4"/>
        <v>0</v>
      </c>
      <c r="P10" s="20">
        <v>0.0</v>
      </c>
      <c r="Q10" s="19">
        <f t="shared" si="5"/>
        <v>0</v>
      </c>
      <c r="R10" s="20">
        <v>0.0</v>
      </c>
      <c r="S10" s="19">
        <f t="shared" si="6"/>
        <v>0</v>
      </c>
      <c r="T10" s="20">
        <v>0.0</v>
      </c>
      <c r="U10" s="19">
        <f t="shared" si="7"/>
        <v>0</v>
      </c>
      <c r="V10" s="20">
        <v>0.0</v>
      </c>
      <c r="W10" s="19">
        <f t="shared" si="8"/>
        <v>0</v>
      </c>
      <c r="X10" s="20">
        <v>0.0</v>
      </c>
      <c r="Y10" s="19">
        <f t="shared" si="9"/>
        <v>0</v>
      </c>
      <c r="Z10" s="20">
        <v>0.0</v>
      </c>
      <c r="AA10" s="19">
        <f t="shared" si="10"/>
        <v>0</v>
      </c>
      <c r="AB10" s="23">
        <f t="shared" si="11"/>
        <v>7</v>
      </c>
      <c r="AC10" s="23">
        <f t="shared" si="12"/>
        <v>0</v>
      </c>
    </row>
    <row r="11" ht="31.5" customHeight="1">
      <c r="A11" s="10"/>
      <c r="B11" s="11"/>
      <c r="C11" s="12" t="s">
        <v>101</v>
      </c>
      <c r="D11" s="13" t="s">
        <v>102</v>
      </c>
      <c r="E11" s="14" t="s">
        <v>49</v>
      </c>
      <c r="F11" s="15" t="s">
        <v>43</v>
      </c>
      <c r="G11" s="16">
        <v>5.0</v>
      </c>
      <c r="H11" s="20">
        <v>0.0</v>
      </c>
      <c r="I11" s="19">
        <f t="shared" si="1"/>
        <v>5</v>
      </c>
      <c r="J11" s="17">
        <v>1.0</v>
      </c>
      <c r="K11" s="19">
        <f t="shared" si="2"/>
        <v>4</v>
      </c>
      <c r="L11" s="17">
        <v>4.0</v>
      </c>
      <c r="M11" s="19">
        <f t="shared" si="3"/>
        <v>0</v>
      </c>
      <c r="N11" s="20">
        <v>0.0</v>
      </c>
      <c r="O11" s="19">
        <f t="shared" si="4"/>
        <v>0</v>
      </c>
      <c r="P11" s="20">
        <v>0.0</v>
      </c>
      <c r="Q11" s="19">
        <f t="shared" si="5"/>
        <v>0</v>
      </c>
      <c r="R11" s="20">
        <v>0.0</v>
      </c>
      <c r="S11" s="19">
        <f t="shared" si="6"/>
        <v>0</v>
      </c>
      <c r="T11" s="20">
        <v>0.0</v>
      </c>
      <c r="U11" s="19">
        <f t="shared" si="7"/>
        <v>0</v>
      </c>
      <c r="V11" s="20">
        <v>0.0</v>
      </c>
      <c r="W11" s="19">
        <f t="shared" si="8"/>
        <v>0</v>
      </c>
      <c r="X11" s="20">
        <v>0.0</v>
      </c>
      <c r="Y11" s="19">
        <f t="shared" si="9"/>
        <v>0</v>
      </c>
      <c r="Z11" s="20">
        <v>0.0</v>
      </c>
      <c r="AA11" s="19">
        <f t="shared" si="10"/>
        <v>0</v>
      </c>
      <c r="AB11" s="23">
        <f t="shared" si="11"/>
        <v>5</v>
      </c>
      <c r="AC11" s="23">
        <f t="shared" si="12"/>
        <v>0</v>
      </c>
    </row>
    <row r="12" ht="31.5" customHeight="1">
      <c r="A12" s="25" t="s">
        <v>117</v>
      </c>
      <c r="B12" s="11" t="s">
        <v>118</v>
      </c>
      <c r="C12" s="12" t="s">
        <v>119</v>
      </c>
      <c r="D12" s="13" t="s">
        <v>120</v>
      </c>
      <c r="E12" s="14" t="s">
        <v>41</v>
      </c>
      <c r="F12" s="15" t="s">
        <v>43</v>
      </c>
      <c r="G12" s="16">
        <v>5.0</v>
      </c>
      <c r="H12" s="20">
        <v>0.0</v>
      </c>
      <c r="I12" s="19">
        <f t="shared" si="1"/>
        <v>5</v>
      </c>
      <c r="J12" s="20">
        <v>0.0</v>
      </c>
      <c r="K12" s="19">
        <f t="shared" si="2"/>
        <v>5</v>
      </c>
      <c r="L12" s="20">
        <v>0.0</v>
      </c>
      <c r="M12" s="19">
        <f t="shared" si="3"/>
        <v>5</v>
      </c>
      <c r="N12" s="17">
        <v>5.0</v>
      </c>
      <c r="O12" s="19">
        <f t="shared" si="4"/>
        <v>0</v>
      </c>
      <c r="P12" s="20">
        <v>0.0</v>
      </c>
      <c r="Q12" s="19">
        <f t="shared" si="5"/>
        <v>0</v>
      </c>
      <c r="R12" s="20">
        <v>0.0</v>
      </c>
      <c r="S12" s="19">
        <f t="shared" si="6"/>
        <v>0</v>
      </c>
      <c r="T12" s="20">
        <v>0.0</v>
      </c>
      <c r="U12" s="19">
        <f t="shared" si="7"/>
        <v>0</v>
      </c>
      <c r="V12" s="20">
        <v>0.0</v>
      </c>
      <c r="W12" s="19">
        <f t="shared" si="8"/>
        <v>0</v>
      </c>
      <c r="X12" s="20">
        <v>0.0</v>
      </c>
      <c r="Y12" s="19">
        <f t="shared" si="9"/>
        <v>0</v>
      </c>
      <c r="Z12" s="20">
        <v>0.0</v>
      </c>
      <c r="AA12" s="19">
        <f t="shared" si="10"/>
        <v>0</v>
      </c>
      <c r="AB12" s="23">
        <f t="shared" si="11"/>
        <v>5</v>
      </c>
      <c r="AC12" s="23">
        <f t="shared" si="12"/>
        <v>0</v>
      </c>
    </row>
    <row r="13" ht="31.5" customHeight="1">
      <c r="A13" s="25"/>
      <c r="B13" s="11"/>
      <c r="C13" s="12" t="s">
        <v>132</v>
      </c>
      <c r="D13" s="13" t="s">
        <v>133</v>
      </c>
      <c r="E13" s="14" t="s">
        <v>49</v>
      </c>
      <c r="F13" s="15" t="s">
        <v>43</v>
      </c>
      <c r="G13" s="16">
        <v>5.0</v>
      </c>
      <c r="H13" s="20">
        <v>0.0</v>
      </c>
      <c r="I13" s="19">
        <f t="shared" si="1"/>
        <v>5</v>
      </c>
      <c r="J13" s="20">
        <v>0.0</v>
      </c>
      <c r="K13" s="19">
        <f t="shared" si="2"/>
        <v>5</v>
      </c>
      <c r="L13" s="17">
        <v>4.0</v>
      </c>
      <c r="M13" s="19">
        <f t="shared" si="3"/>
        <v>1</v>
      </c>
      <c r="N13" s="17">
        <v>1.0</v>
      </c>
      <c r="O13" s="19">
        <f t="shared" si="4"/>
        <v>0</v>
      </c>
      <c r="P13" s="20">
        <v>0.0</v>
      </c>
      <c r="Q13" s="19">
        <f t="shared" si="5"/>
        <v>0</v>
      </c>
      <c r="R13" s="20">
        <v>0.0</v>
      </c>
      <c r="S13" s="19">
        <f t="shared" si="6"/>
        <v>0</v>
      </c>
      <c r="T13" s="20">
        <v>0.0</v>
      </c>
      <c r="U13" s="19">
        <f t="shared" si="7"/>
        <v>0</v>
      </c>
      <c r="V13" s="20">
        <v>0.0</v>
      </c>
      <c r="W13" s="19">
        <f t="shared" si="8"/>
        <v>0</v>
      </c>
      <c r="X13" s="20">
        <v>0.0</v>
      </c>
      <c r="Y13" s="19">
        <f t="shared" si="9"/>
        <v>0</v>
      </c>
      <c r="Z13" s="20">
        <v>0.0</v>
      </c>
      <c r="AA13" s="19">
        <f t="shared" si="10"/>
        <v>0</v>
      </c>
      <c r="AB13" s="23">
        <f t="shared" si="11"/>
        <v>5</v>
      </c>
      <c r="AC13" s="23">
        <f t="shared" si="12"/>
        <v>0</v>
      </c>
    </row>
    <row r="14" ht="31.5" customHeight="1">
      <c r="A14" s="25"/>
      <c r="B14" s="11"/>
      <c r="C14" s="12" t="s">
        <v>140</v>
      </c>
      <c r="D14" s="13" t="s">
        <v>141</v>
      </c>
      <c r="E14" s="14" t="s">
        <v>73</v>
      </c>
      <c r="F14" s="15" t="s">
        <v>43</v>
      </c>
      <c r="G14" s="16">
        <v>4.0</v>
      </c>
      <c r="H14" s="17">
        <v>4.0</v>
      </c>
      <c r="I14" s="19">
        <f t="shared" si="1"/>
        <v>0</v>
      </c>
      <c r="J14" s="20">
        <v>0.0</v>
      </c>
      <c r="K14" s="19">
        <f t="shared" si="2"/>
        <v>0</v>
      </c>
      <c r="L14" s="20">
        <v>0.0</v>
      </c>
      <c r="M14" s="19">
        <f t="shared" si="3"/>
        <v>0</v>
      </c>
      <c r="N14" s="20">
        <v>0.0</v>
      </c>
      <c r="O14" s="19">
        <f t="shared" si="4"/>
        <v>0</v>
      </c>
      <c r="P14" s="20">
        <v>0.0</v>
      </c>
      <c r="Q14" s="19">
        <f t="shared" si="5"/>
        <v>0</v>
      </c>
      <c r="R14" s="20">
        <v>0.0</v>
      </c>
      <c r="S14" s="19">
        <f t="shared" si="6"/>
        <v>0</v>
      </c>
      <c r="T14" s="20">
        <v>0.0</v>
      </c>
      <c r="U14" s="19">
        <f t="shared" si="7"/>
        <v>0</v>
      </c>
      <c r="V14" s="20">
        <v>0.0</v>
      </c>
      <c r="W14" s="19">
        <f t="shared" si="8"/>
        <v>0</v>
      </c>
      <c r="X14" s="20">
        <v>0.0</v>
      </c>
      <c r="Y14" s="19">
        <f t="shared" si="9"/>
        <v>0</v>
      </c>
      <c r="Z14" s="20">
        <v>0.0</v>
      </c>
      <c r="AA14" s="19">
        <f t="shared" si="10"/>
        <v>0</v>
      </c>
      <c r="AB14" s="23">
        <f t="shared" si="11"/>
        <v>4</v>
      </c>
      <c r="AC14" s="23">
        <f t="shared" si="12"/>
        <v>0</v>
      </c>
    </row>
    <row r="15" ht="31.5" customHeight="1">
      <c r="A15" s="25" t="s">
        <v>150</v>
      </c>
      <c r="B15" s="11" t="s">
        <v>151</v>
      </c>
      <c r="C15" s="12" t="s">
        <v>152</v>
      </c>
      <c r="D15" s="13" t="s">
        <v>153</v>
      </c>
      <c r="E15" s="14" t="s">
        <v>41</v>
      </c>
      <c r="F15" s="15" t="s">
        <v>43</v>
      </c>
      <c r="G15" s="16">
        <v>6.0</v>
      </c>
      <c r="H15" s="20">
        <v>0.0</v>
      </c>
      <c r="I15" s="19">
        <f t="shared" si="1"/>
        <v>6</v>
      </c>
      <c r="J15" s="20">
        <v>0.0</v>
      </c>
      <c r="K15" s="19">
        <f t="shared" si="2"/>
        <v>6</v>
      </c>
      <c r="L15" s="20">
        <v>0.0</v>
      </c>
      <c r="M15" s="19">
        <f t="shared" si="3"/>
        <v>6</v>
      </c>
      <c r="N15" s="17">
        <v>3.0</v>
      </c>
      <c r="O15" s="19">
        <f t="shared" si="4"/>
        <v>3</v>
      </c>
      <c r="P15" s="17">
        <v>3.0</v>
      </c>
      <c r="Q15" s="19">
        <f t="shared" si="5"/>
        <v>0</v>
      </c>
      <c r="R15" s="20">
        <v>0.0</v>
      </c>
      <c r="S15" s="19">
        <f t="shared" si="6"/>
        <v>0</v>
      </c>
      <c r="T15" s="20">
        <v>0.0</v>
      </c>
      <c r="U15" s="19">
        <f t="shared" si="7"/>
        <v>0</v>
      </c>
      <c r="V15" s="20">
        <v>0.0</v>
      </c>
      <c r="W15" s="19">
        <f t="shared" si="8"/>
        <v>0</v>
      </c>
      <c r="X15" s="20">
        <v>0.0</v>
      </c>
      <c r="Y15" s="19">
        <f t="shared" si="9"/>
        <v>0</v>
      </c>
      <c r="Z15" s="20">
        <v>0.0</v>
      </c>
      <c r="AA15" s="19">
        <f t="shared" si="10"/>
        <v>0</v>
      </c>
      <c r="AB15" s="23">
        <f t="shared" si="11"/>
        <v>6</v>
      </c>
      <c r="AC15" s="23">
        <f t="shared" si="12"/>
        <v>0</v>
      </c>
    </row>
    <row r="16" ht="31.5" customHeight="1">
      <c r="A16" s="25"/>
      <c r="B16" s="11"/>
      <c r="C16" s="12" t="s">
        <v>169</v>
      </c>
      <c r="D16" s="13" t="s">
        <v>172</v>
      </c>
      <c r="E16" s="14" t="s">
        <v>49</v>
      </c>
      <c r="F16" s="15" t="s">
        <v>43</v>
      </c>
      <c r="G16" s="16">
        <v>5.0</v>
      </c>
      <c r="H16" s="20">
        <v>0.0</v>
      </c>
      <c r="I16" s="19">
        <f t="shared" si="1"/>
        <v>5</v>
      </c>
      <c r="J16" s="20">
        <v>0.0</v>
      </c>
      <c r="K16" s="19">
        <f t="shared" si="2"/>
        <v>5</v>
      </c>
      <c r="L16" s="20">
        <v>0.0</v>
      </c>
      <c r="M16" s="19">
        <f t="shared" si="3"/>
        <v>5</v>
      </c>
      <c r="N16" s="17">
        <v>5.0</v>
      </c>
      <c r="O16" s="19">
        <f t="shared" si="4"/>
        <v>0</v>
      </c>
      <c r="P16" s="20">
        <v>0.0</v>
      </c>
      <c r="Q16" s="19">
        <f t="shared" si="5"/>
        <v>0</v>
      </c>
      <c r="R16" s="20">
        <v>0.0</v>
      </c>
      <c r="S16" s="19">
        <f t="shared" si="6"/>
        <v>0</v>
      </c>
      <c r="T16" s="20">
        <v>0.0</v>
      </c>
      <c r="U16" s="19">
        <f t="shared" si="7"/>
        <v>0</v>
      </c>
      <c r="V16" s="20">
        <v>0.0</v>
      </c>
      <c r="W16" s="19">
        <f t="shared" si="8"/>
        <v>0</v>
      </c>
      <c r="X16" s="20">
        <v>0.0</v>
      </c>
      <c r="Y16" s="19">
        <f t="shared" si="9"/>
        <v>0</v>
      </c>
      <c r="Z16" s="20">
        <v>0.0</v>
      </c>
      <c r="AA16" s="19">
        <f t="shared" si="10"/>
        <v>0</v>
      </c>
      <c r="AB16" s="23">
        <f t="shared" si="11"/>
        <v>5</v>
      </c>
      <c r="AC16" s="23">
        <f t="shared" si="12"/>
        <v>0</v>
      </c>
    </row>
    <row r="17" ht="31.5" customHeight="1">
      <c r="A17" s="25"/>
      <c r="B17" s="11"/>
      <c r="C17" s="12" t="s">
        <v>184</v>
      </c>
      <c r="D17" s="13" t="s">
        <v>185</v>
      </c>
      <c r="E17" s="14" t="s">
        <v>41</v>
      </c>
      <c r="F17" s="15" t="s">
        <v>43</v>
      </c>
      <c r="G17" s="16">
        <v>4.0</v>
      </c>
      <c r="H17" s="20">
        <v>0.0</v>
      </c>
      <c r="I17" s="19">
        <f t="shared" si="1"/>
        <v>4</v>
      </c>
      <c r="J17" s="20">
        <v>0.0</v>
      </c>
      <c r="K17" s="19">
        <f t="shared" si="2"/>
        <v>4</v>
      </c>
      <c r="L17" s="20">
        <v>0.0</v>
      </c>
      <c r="M17" s="19">
        <f t="shared" si="3"/>
        <v>4</v>
      </c>
      <c r="N17" s="20">
        <v>0.0</v>
      </c>
      <c r="O17" s="19">
        <f t="shared" si="4"/>
        <v>4</v>
      </c>
      <c r="P17" s="17">
        <v>4.0</v>
      </c>
      <c r="Q17" s="19">
        <f t="shared" si="5"/>
        <v>0</v>
      </c>
      <c r="R17" s="20">
        <v>0.0</v>
      </c>
      <c r="S17" s="19">
        <f t="shared" si="6"/>
        <v>0</v>
      </c>
      <c r="T17" s="20">
        <v>0.0</v>
      </c>
      <c r="U17" s="19">
        <f t="shared" si="7"/>
        <v>0</v>
      </c>
      <c r="V17" s="20">
        <v>0.0</v>
      </c>
      <c r="W17" s="19">
        <f t="shared" si="8"/>
        <v>0</v>
      </c>
      <c r="X17" s="20">
        <v>0.0</v>
      </c>
      <c r="Y17" s="19">
        <f t="shared" si="9"/>
        <v>0</v>
      </c>
      <c r="Z17" s="20">
        <v>0.0</v>
      </c>
      <c r="AA17" s="19">
        <f t="shared" si="10"/>
        <v>0</v>
      </c>
      <c r="AB17" s="23">
        <f t="shared" si="11"/>
        <v>4</v>
      </c>
      <c r="AC17" s="23">
        <f t="shared" si="12"/>
        <v>0</v>
      </c>
    </row>
    <row r="18" ht="31.5" customHeight="1">
      <c r="A18" s="25"/>
      <c r="B18" s="11"/>
      <c r="C18" s="12" t="s">
        <v>197</v>
      </c>
      <c r="D18" s="13" t="s">
        <v>198</v>
      </c>
      <c r="E18" s="14" t="s">
        <v>73</v>
      </c>
      <c r="F18" s="15" t="s">
        <v>43</v>
      </c>
      <c r="G18" s="16">
        <v>4.0</v>
      </c>
      <c r="H18" s="17">
        <v>4.0</v>
      </c>
      <c r="I18" s="19">
        <f t="shared" si="1"/>
        <v>0</v>
      </c>
      <c r="J18" s="20">
        <v>0.0</v>
      </c>
      <c r="K18" s="19">
        <f t="shared" si="2"/>
        <v>0</v>
      </c>
      <c r="L18" s="20">
        <v>0.0</v>
      </c>
      <c r="M18" s="19">
        <f t="shared" si="3"/>
        <v>0</v>
      </c>
      <c r="N18" s="20">
        <v>0.0</v>
      </c>
      <c r="O18" s="19">
        <f t="shared" si="4"/>
        <v>0</v>
      </c>
      <c r="P18" s="20">
        <v>0.0</v>
      </c>
      <c r="Q18" s="19">
        <f t="shared" si="5"/>
        <v>0</v>
      </c>
      <c r="R18" s="20">
        <v>0.0</v>
      </c>
      <c r="S18" s="19">
        <f t="shared" si="6"/>
        <v>0</v>
      </c>
      <c r="T18" s="20">
        <v>0.0</v>
      </c>
      <c r="U18" s="19">
        <f t="shared" si="7"/>
        <v>0</v>
      </c>
      <c r="V18" s="20">
        <v>0.0</v>
      </c>
      <c r="W18" s="19">
        <f t="shared" si="8"/>
        <v>0</v>
      </c>
      <c r="X18" s="20">
        <v>0.0</v>
      </c>
      <c r="Y18" s="19">
        <f t="shared" si="9"/>
        <v>0</v>
      </c>
      <c r="Z18" s="20">
        <v>0.0</v>
      </c>
      <c r="AA18" s="19">
        <f t="shared" si="10"/>
        <v>0</v>
      </c>
      <c r="AB18" s="23">
        <f t="shared" si="11"/>
        <v>4</v>
      </c>
      <c r="AC18" s="23">
        <f t="shared" si="12"/>
        <v>0</v>
      </c>
    </row>
    <row r="19">
      <c r="A19" s="27"/>
      <c r="B19" s="27"/>
      <c r="C19" s="27"/>
      <c r="D19" s="28" t="s">
        <v>190</v>
      </c>
      <c r="E19" s="27"/>
      <c r="F19" s="27"/>
      <c r="G19" s="29">
        <f t="shared" ref="G19:H19" si="13">SUM(G6:G18)</f>
        <v>77</v>
      </c>
      <c r="H19" s="30">
        <f t="shared" si="13"/>
        <v>24</v>
      </c>
      <c r="I19" s="27"/>
      <c r="J19" s="30">
        <f>SUM(J6:J18)</f>
        <v>16</v>
      </c>
      <c r="K19" s="27"/>
      <c r="L19" s="30">
        <f>SUM(L6:L18)</f>
        <v>16</v>
      </c>
      <c r="M19" s="27"/>
      <c r="N19" s="30">
        <f>SUM(N6:N18)</f>
        <v>14</v>
      </c>
      <c r="O19" s="27"/>
      <c r="P19" s="30">
        <f>SUM(P6:P18)</f>
        <v>7</v>
      </c>
      <c r="Q19" s="27"/>
      <c r="R19" s="30">
        <f>SUM(R6:R18)</f>
        <v>0</v>
      </c>
      <c r="S19" s="27"/>
      <c r="T19" s="30">
        <f>SUM(T6:T18)</f>
        <v>0</v>
      </c>
      <c r="U19" s="27"/>
      <c r="V19" s="30">
        <f>SUM(V6:V18)</f>
        <v>0</v>
      </c>
      <c r="W19" s="27"/>
      <c r="X19" s="30">
        <f>SUM(X6:X18)</f>
        <v>0</v>
      </c>
      <c r="Y19" s="27"/>
      <c r="Z19" s="30">
        <f>SUM(Z6:Z18)</f>
        <v>0</v>
      </c>
      <c r="AA19" s="27"/>
      <c r="AB19" s="30">
        <f t="shared" ref="AB19:AC19" si="14">SUM(AB6:AB18)</f>
        <v>77</v>
      </c>
      <c r="AC19" s="30">
        <f t="shared" si="14"/>
        <v>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R4:S4"/>
    <mergeCell ref="T4:U4"/>
    <mergeCell ref="V4:W4"/>
    <mergeCell ref="X4:Y4"/>
    <mergeCell ref="Z4:AA4"/>
    <mergeCell ref="A1:H1"/>
    <mergeCell ref="A2:H2"/>
    <mergeCell ref="H4:I4"/>
    <mergeCell ref="J4:K4"/>
    <mergeCell ref="L4:M4"/>
    <mergeCell ref="N4:O4"/>
    <mergeCell ref="P4:Q4"/>
  </mergeCells>
  <printOptions/>
  <pageMargins bottom="1.0" footer="0.0" header="0.0" left="0.35" right="0.35" top="1.0"/>
  <pageSetup paperSize="3" orientation="landscape"/>
  <headerFooter>
    <oddFooter>&amp;LSprint backlog 2 — Haircut Home Studio&amp;RTareas y horas del PDF</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4.43" defaultRowHeight="15.0"/>
  <cols>
    <col customWidth="1" min="1" max="1" width="14.0"/>
    <col customWidth="1" min="2" max="2" width="36.0"/>
    <col customWidth="1" min="3" max="3" width="16.0"/>
    <col customWidth="1" min="4" max="4" width="42.0"/>
    <col customWidth="1" min="5" max="5" width="18.0"/>
    <col customWidth="1" min="6" max="6" width="14.0"/>
    <col customWidth="1" min="7" max="7" width="10.0"/>
    <col customWidth="1" min="8" max="27" width="6.0"/>
    <col customWidth="1" min="28" max="28" width="11.0"/>
    <col customWidth="1" min="29" max="29" width="12.0"/>
  </cols>
  <sheetData>
    <row r="1" ht="24.0" customHeight="1">
      <c r="A1" s="1" t="s">
        <v>2</v>
      </c>
    </row>
    <row r="2">
      <c r="A2" s="3" t="s">
        <v>8</v>
      </c>
    </row>
    <row r="4" ht="21.75" customHeight="1">
      <c r="A4" s="4" t="s">
        <v>11</v>
      </c>
      <c r="B4" s="4" t="s">
        <v>16</v>
      </c>
      <c r="C4" s="4" t="s">
        <v>17</v>
      </c>
      <c r="D4" s="4" t="s">
        <v>18</v>
      </c>
      <c r="E4" s="4" t="s">
        <v>19</v>
      </c>
      <c r="F4" s="4" t="s">
        <v>20</v>
      </c>
      <c r="G4" s="4" t="s">
        <v>21</v>
      </c>
      <c r="H4" s="5" t="s">
        <v>22</v>
      </c>
      <c r="I4" s="6"/>
      <c r="J4" s="5" t="s">
        <v>23</v>
      </c>
      <c r="K4" s="6"/>
      <c r="L4" s="5" t="s">
        <v>24</v>
      </c>
      <c r="M4" s="6"/>
      <c r="N4" s="5" t="s">
        <v>25</v>
      </c>
      <c r="O4" s="6"/>
      <c r="P4" s="5" t="s">
        <v>26</v>
      </c>
      <c r="Q4" s="6"/>
      <c r="R4" s="5" t="s">
        <v>27</v>
      </c>
      <c r="S4" s="6"/>
      <c r="T4" s="5" t="s">
        <v>28</v>
      </c>
      <c r="U4" s="6"/>
      <c r="V4" s="5" t="s">
        <v>29</v>
      </c>
      <c r="W4" s="6"/>
      <c r="X4" s="5" t="s">
        <v>30</v>
      </c>
      <c r="Y4" s="6"/>
      <c r="Z4" s="5" t="s">
        <v>31</v>
      </c>
      <c r="AA4" s="6"/>
      <c r="AB4" s="4" t="s">
        <v>32</v>
      </c>
      <c r="AC4" s="4" t="s">
        <v>33</v>
      </c>
    </row>
    <row r="5">
      <c r="H5" s="7">
        <v>46293.0</v>
      </c>
      <c r="I5" s="8" t="s">
        <v>34</v>
      </c>
      <c r="J5" s="7">
        <v>46294.0</v>
      </c>
      <c r="K5" s="8" t="s">
        <v>34</v>
      </c>
      <c r="L5" s="7">
        <v>46295.0</v>
      </c>
      <c r="M5" s="8" t="s">
        <v>34</v>
      </c>
      <c r="N5" s="7">
        <v>46296.0</v>
      </c>
      <c r="O5" s="8" t="s">
        <v>34</v>
      </c>
      <c r="P5" s="7">
        <v>46297.0</v>
      </c>
      <c r="Q5" s="8" t="s">
        <v>34</v>
      </c>
      <c r="R5" s="7">
        <v>46300.0</v>
      </c>
      <c r="S5" s="8" t="s">
        <v>34</v>
      </c>
      <c r="T5" s="7">
        <v>46301.0</v>
      </c>
      <c r="U5" s="8" t="s">
        <v>34</v>
      </c>
      <c r="V5" s="7">
        <v>46302.0</v>
      </c>
      <c r="W5" s="8" t="s">
        <v>34</v>
      </c>
      <c r="X5" s="7">
        <v>46303.0</v>
      </c>
      <c r="Y5" s="8" t="s">
        <v>34</v>
      </c>
      <c r="Z5" s="7">
        <v>46304.0</v>
      </c>
      <c r="AA5" s="8" t="s">
        <v>34</v>
      </c>
    </row>
    <row r="6" ht="31.5" customHeight="1">
      <c r="A6" s="18" t="s">
        <v>45</v>
      </c>
      <c r="B6" s="11" t="s">
        <v>46</v>
      </c>
      <c r="C6" s="12" t="s">
        <v>47</v>
      </c>
      <c r="D6" s="13" t="s">
        <v>48</v>
      </c>
      <c r="E6" s="14" t="s">
        <v>49</v>
      </c>
      <c r="F6" s="15" t="s">
        <v>43</v>
      </c>
      <c r="G6" s="16">
        <v>5.0</v>
      </c>
      <c r="H6" s="17">
        <v>5.0</v>
      </c>
      <c r="I6" s="19">
        <f t="shared" ref="I6:I27" si="1">G6-H6</f>
        <v>0</v>
      </c>
      <c r="J6" s="20">
        <v>0.0</v>
      </c>
      <c r="K6" s="19">
        <f t="shared" ref="K6:K27" si="2">I6-J6</f>
        <v>0</v>
      </c>
      <c r="L6" s="20">
        <v>0.0</v>
      </c>
      <c r="M6" s="19">
        <f t="shared" ref="M6:M27" si="3">K6-L6</f>
        <v>0</v>
      </c>
      <c r="N6" s="20">
        <v>0.0</v>
      </c>
      <c r="O6" s="19">
        <f t="shared" ref="O6:O27" si="4">M6-N6</f>
        <v>0</v>
      </c>
      <c r="P6" s="20">
        <v>0.0</v>
      </c>
      <c r="Q6" s="19">
        <f t="shared" ref="Q6:Q27" si="5">O6-P6</f>
        <v>0</v>
      </c>
      <c r="R6" s="20">
        <v>0.0</v>
      </c>
      <c r="S6" s="19">
        <f t="shared" ref="S6:S27" si="6">Q6-R6</f>
        <v>0</v>
      </c>
      <c r="T6" s="20">
        <v>0.0</v>
      </c>
      <c r="U6" s="19">
        <f t="shared" ref="U6:U27" si="7">S6-T6</f>
        <v>0</v>
      </c>
      <c r="V6" s="20">
        <v>0.0</v>
      </c>
      <c r="W6" s="19">
        <f t="shared" ref="W6:W27" si="8">U6-V6</f>
        <v>0</v>
      </c>
      <c r="X6" s="20">
        <v>0.0</v>
      </c>
      <c r="Y6" s="19">
        <f t="shared" ref="Y6:Y27" si="9">W6-X6</f>
        <v>0</v>
      </c>
      <c r="Z6" s="20">
        <v>0.0</v>
      </c>
      <c r="AA6" s="19">
        <f t="shared" ref="AA6:AA27" si="10">Y6-Z6</f>
        <v>0</v>
      </c>
      <c r="AB6" s="23">
        <f t="shared" ref="AB6:AB27" si="11">H6+J6+L6+N6+P6+R6+T6+V6+X6+Z6</f>
        <v>5</v>
      </c>
      <c r="AC6" s="23">
        <f t="shared" ref="AC6:AC27" si="12">AA6</f>
        <v>0</v>
      </c>
    </row>
    <row r="7" ht="31.5" customHeight="1">
      <c r="A7" s="18"/>
      <c r="B7" s="11"/>
      <c r="C7" s="12" t="s">
        <v>59</v>
      </c>
      <c r="D7" s="13" t="s">
        <v>60</v>
      </c>
      <c r="E7" s="14" t="s">
        <v>41</v>
      </c>
      <c r="F7" s="15" t="s">
        <v>43</v>
      </c>
      <c r="G7" s="16">
        <v>5.0</v>
      </c>
      <c r="H7" s="17">
        <v>5.0</v>
      </c>
      <c r="I7" s="19">
        <f t="shared" si="1"/>
        <v>0</v>
      </c>
      <c r="J7" s="20">
        <v>0.0</v>
      </c>
      <c r="K7" s="19">
        <f t="shared" si="2"/>
        <v>0</v>
      </c>
      <c r="L7" s="20">
        <v>0.0</v>
      </c>
      <c r="M7" s="19">
        <f t="shared" si="3"/>
        <v>0</v>
      </c>
      <c r="N7" s="20">
        <v>0.0</v>
      </c>
      <c r="O7" s="19">
        <f t="shared" si="4"/>
        <v>0</v>
      </c>
      <c r="P7" s="20">
        <v>0.0</v>
      </c>
      <c r="Q7" s="19">
        <f t="shared" si="5"/>
        <v>0</v>
      </c>
      <c r="R7" s="20">
        <v>0.0</v>
      </c>
      <c r="S7" s="19">
        <f t="shared" si="6"/>
        <v>0</v>
      </c>
      <c r="T7" s="20">
        <v>0.0</v>
      </c>
      <c r="U7" s="19">
        <f t="shared" si="7"/>
        <v>0</v>
      </c>
      <c r="V7" s="20">
        <v>0.0</v>
      </c>
      <c r="W7" s="19">
        <f t="shared" si="8"/>
        <v>0</v>
      </c>
      <c r="X7" s="20">
        <v>0.0</v>
      </c>
      <c r="Y7" s="19">
        <f t="shared" si="9"/>
        <v>0</v>
      </c>
      <c r="Z7" s="20">
        <v>0.0</v>
      </c>
      <c r="AA7" s="19">
        <f t="shared" si="10"/>
        <v>0</v>
      </c>
      <c r="AB7" s="23">
        <f t="shared" si="11"/>
        <v>5</v>
      </c>
      <c r="AC7" s="23">
        <f t="shared" si="12"/>
        <v>0</v>
      </c>
    </row>
    <row r="8" ht="31.5" customHeight="1">
      <c r="A8" s="18"/>
      <c r="B8" s="11"/>
      <c r="C8" s="12" t="s">
        <v>69</v>
      </c>
      <c r="D8" s="13" t="s">
        <v>70</v>
      </c>
      <c r="E8" s="14" t="s">
        <v>41</v>
      </c>
      <c r="F8" s="15" t="s">
        <v>43</v>
      </c>
      <c r="G8" s="16">
        <v>7.0</v>
      </c>
      <c r="H8" s="17">
        <v>3.0</v>
      </c>
      <c r="I8" s="19">
        <f t="shared" si="1"/>
        <v>4</v>
      </c>
      <c r="J8" s="17">
        <v>4.0</v>
      </c>
      <c r="K8" s="19">
        <f t="shared" si="2"/>
        <v>0</v>
      </c>
      <c r="L8" s="20">
        <v>0.0</v>
      </c>
      <c r="M8" s="19">
        <f t="shared" si="3"/>
        <v>0</v>
      </c>
      <c r="N8" s="20">
        <v>0.0</v>
      </c>
      <c r="O8" s="19">
        <f t="shared" si="4"/>
        <v>0</v>
      </c>
      <c r="P8" s="20">
        <v>0.0</v>
      </c>
      <c r="Q8" s="19">
        <f t="shared" si="5"/>
        <v>0</v>
      </c>
      <c r="R8" s="20">
        <v>0.0</v>
      </c>
      <c r="S8" s="19">
        <f t="shared" si="6"/>
        <v>0</v>
      </c>
      <c r="T8" s="20">
        <v>0.0</v>
      </c>
      <c r="U8" s="19">
        <f t="shared" si="7"/>
        <v>0</v>
      </c>
      <c r="V8" s="20">
        <v>0.0</v>
      </c>
      <c r="W8" s="19">
        <f t="shared" si="8"/>
        <v>0</v>
      </c>
      <c r="X8" s="20">
        <v>0.0</v>
      </c>
      <c r="Y8" s="19">
        <f t="shared" si="9"/>
        <v>0</v>
      </c>
      <c r="Z8" s="20">
        <v>0.0</v>
      </c>
      <c r="AA8" s="19">
        <f t="shared" si="10"/>
        <v>0</v>
      </c>
      <c r="AB8" s="23">
        <f t="shared" si="11"/>
        <v>7</v>
      </c>
      <c r="AC8" s="23">
        <f t="shared" si="12"/>
        <v>0</v>
      </c>
    </row>
    <row r="9" ht="31.5" customHeight="1">
      <c r="A9" s="18"/>
      <c r="B9" s="11"/>
      <c r="C9" s="12" t="s">
        <v>84</v>
      </c>
      <c r="D9" s="13" t="s">
        <v>85</v>
      </c>
      <c r="E9" s="14" t="s">
        <v>73</v>
      </c>
      <c r="F9" s="15" t="s">
        <v>43</v>
      </c>
      <c r="G9" s="16">
        <v>4.0</v>
      </c>
      <c r="H9" s="17">
        <v>4.0</v>
      </c>
      <c r="I9" s="19">
        <f t="shared" si="1"/>
        <v>0</v>
      </c>
      <c r="J9" s="20">
        <v>0.0</v>
      </c>
      <c r="K9" s="19">
        <f t="shared" si="2"/>
        <v>0</v>
      </c>
      <c r="L9" s="20">
        <v>0.0</v>
      </c>
      <c r="M9" s="19">
        <f t="shared" si="3"/>
        <v>0</v>
      </c>
      <c r="N9" s="20">
        <v>0.0</v>
      </c>
      <c r="O9" s="19">
        <f t="shared" si="4"/>
        <v>0</v>
      </c>
      <c r="P9" s="20">
        <v>0.0</v>
      </c>
      <c r="Q9" s="19">
        <f t="shared" si="5"/>
        <v>0</v>
      </c>
      <c r="R9" s="20">
        <v>0.0</v>
      </c>
      <c r="S9" s="19">
        <f t="shared" si="6"/>
        <v>0</v>
      </c>
      <c r="T9" s="20">
        <v>0.0</v>
      </c>
      <c r="U9" s="19">
        <f t="shared" si="7"/>
        <v>0</v>
      </c>
      <c r="V9" s="20">
        <v>0.0</v>
      </c>
      <c r="W9" s="19">
        <f t="shared" si="8"/>
        <v>0</v>
      </c>
      <c r="X9" s="20">
        <v>0.0</v>
      </c>
      <c r="Y9" s="19">
        <f t="shared" si="9"/>
        <v>0</v>
      </c>
      <c r="Z9" s="20">
        <v>0.0</v>
      </c>
      <c r="AA9" s="19">
        <f t="shared" si="10"/>
        <v>0</v>
      </c>
      <c r="AB9" s="23">
        <f t="shared" si="11"/>
        <v>4</v>
      </c>
      <c r="AC9" s="23">
        <f t="shared" si="12"/>
        <v>0</v>
      </c>
    </row>
    <row r="10" ht="31.5" customHeight="1">
      <c r="A10" s="18" t="s">
        <v>94</v>
      </c>
      <c r="B10" s="11" t="s">
        <v>95</v>
      </c>
      <c r="C10" s="12" t="s">
        <v>97</v>
      </c>
      <c r="D10" s="13" t="s">
        <v>99</v>
      </c>
      <c r="E10" s="14" t="s">
        <v>49</v>
      </c>
      <c r="F10" s="15" t="s">
        <v>43</v>
      </c>
      <c r="G10" s="16">
        <v>4.0</v>
      </c>
      <c r="H10" s="17">
        <v>3.0</v>
      </c>
      <c r="I10" s="19">
        <f t="shared" si="1"/>
        <v>1</v>
      </c>
      <c r="J10" s="17">
        <v>1.0</v>
      </c>
      <c r="K10" s="19">
        <f t="shared" si="2"/>
        <v>0</v>
      </c>
      <c r="L10" s="20">
        <v>0.0</v>
      </c>
      <c r="M10" s="19">
        <f t="shared" si="3"/>
        <v>0</v>
      </c>
      <c r="N10" s="20">
        <v>0.0</v>
      </c>
      <c r="O10" s="19">
        <f t="shared" si="4"/>
        <v>0</v>
      </c>
      <c r="P10" s="20">
        <v>0.0</v>
      </c>
      <c r="Q10" s="19">
        <f t="shared" si="5"/>
        <v>0</v>
      </c>
      <c r="R10" s="20">
        <v>0.0</v>
      </c>
      <c r="S10" s="19">
        <f t="shared" si="6"/>
        <v>0</v>
      </c>
      <c r="T10" s="20">
        <v>0.0</v>
      </c>
      <c r="U10" s="19">
        <f t="shared" si="7"/>
        <v>0</v>
      </c>
      <c r="V10" s="20">
        <v>0.0</v>
      </c>
      <c r="W10" s="19">
        <f t="shared" si="8"/>
        <v>0</v>
      </c>
      <c r="X10" s="20">
        <v>0.0</v>
      </c>
      <c r="Y10" s="19">
        <f t="shared" si="9"/>
        <v>0</v>
      </c>
      <c r="Z10" s="20">
        <v>0.0</v>
      </c>
      <c r="AA10" s="19">
        <f t="shared" si="10"/>
        <v>0</v>
      </c>
      <c r="AB10" s="23">
        <f t="shared" si="11"/>
        <v>4</v>
      </c>
      <c r="AC10" s="23">
        <f t="shared" si="12"/>
        <v>0</v>
      </c>
    </row>
    <row r="11" ht="31.5" customHeight="1">
      <c r="A11" s="18"/>
      <c r="B11" s="11"/>
      <c r="C11" s="12" t="s">
        <v>105</v>
      </c>
      <c r="D11" s="13" t="s">
        <v>106</v>
      </c>
      <c r="E11" s="14" t="s">
        <v>41</v>
      </c>
      <c r="F11" s="15" t="s">
        <v>43</v>
      </c>
      <c r="G11" s="16">
        <v>4.0</v>
      </c>
      <c r="H11" s="20">
        <v>0.0</v>
      </c>
      <c r="I11" s="19">
        <f t="shared" si="1"/>
        <v>4</v>
      </c>
      <c r="J11" s="17">
        <v>4.0</v>
      </c>
      <c r="K11" s="19">
        <f t="shared" si="2"/>
        <v>0</v>
      </c>
      <c r="L11" s="20">
        <v>0.0</v>
      </c>
      <c r="M11" s="19">
        <f t="shared" si="3"/>
        <v>0</v>
      </c>
      <c r="N11" s="20">
        <v>0.0</v>
      </c>
      <c r="O11" s="19">
        <f t="shared" si="4"/>
        <v>0</v>
      </c>
      <c r="P11" s="20">
        <v>0.0</v>
      </c>
      <c r="Q11" s="19">
        <f t="shared" si="5"/>
        <v>0</v>
      </c>
      <c r="R11" s="20">
        <v>0.0</v>
      </c>
      <c r="S11" s="19">
        <f t="shared" si="6"/>
        <v>0</v>
      </c>
      <c r="T11" s="20">
        <v>0.0</v>
      </c>
      <c r="U11" s="19">
        <f t="shared" si="7"/>
        <v>0</v>
      </c>
      <c r="V11" s="20">
        <v>0.0</v>
      </c>
      <c r="W11" s="19">
        <f t="shared" si="8"/>
        <v>0</v>
      </c>
      <c r="X11" s="20">
        <v>0.0</v>
      </c>
      <c r="Y11" s="19">
        <f t="shared" si="9"/>
        <v>0</v>
      </c>
      <c r="Z11" s="20">
        <v>0.0</v>
      </c>
      <c r="AA11" s="19">
        <f t="shared" si="10"/>
        <v>0</v>
      </c>
      <c r="AB11" s="23">
        <f t="shared" si="11"/>
        <v>4</v>
      </c>
      <c r="AC11" s="23">
        <f t="shared" si="12"/>
        <v>0</v>
      </c>
    </row>
    <row r="12" ht="31.5" customHeight="1">
      <c r="A12" s="18"/>
      <c r="B12" s="11"/>
      <c r="C12" s="12" t="s">
        <v>113</v>
      </c>
      <c r="D12" s="13" t="s">
        <v>114</v>
      </c>
      <c r="E12" s="14" t="s">
        <v>41</v>
      </c>
      <c r="F12" s="15" t="s">
        <v>43</v>
      </c>
      <c r="G12" s="16">
        <v>4.0</v>
      </c>
      <c r="H12" s="20">
        <v>0.0</v>
      </c>
      <c r="I12" s="19">
        <f t="shared" si="1"/>
        <v>4</v>
      </c>
      <c r="J12" s="20">
        <v>0.0</v>
      </c>
      <c r="K12" s="19">
        <f t="shared" si="2"/>
        <v>4</v>
      </c>
      <c r="L12" s="17">
        <v>4.0</v>
      </c>
      <c r="M12" s="19">
        <f t="shared" si="3"/>
        <v>0</v>
      </c>
      <c r="N12" s="20">
        <v>0.0</v>
      </c>
      <c r="O12" s="19">
        <f t="shared" si="4"/>
        <v>0</v>
      </c>
      <c r="P12" s="20">
        <v>0.0</v>
      </c>
      <c r="Q12" s="19">
        <f t="shared" si="5"/>
        <v>0</v>
      </c>
      <c r="R12" s="20">
        <v>0.0</v>
      </c>
      <c r="S12" s="19">
        <f t="shared" si="6"/>
        <v>0</v>
      </c>
      <c r="T12" s="20">
        <v>0.0</v>
      </c>
      <c r="U12" s="19">
        <f t="shared" si="7"/>
        <v>0</v>
      </c>
      <c r="V12" s="20">
        <v>0.0</v>
      </c>
      <c r="W12" s="19">
        <f t="shared" si="8"/>
        <v>0</v>
      </c>
      <c r="X12" s="20">
        <v>0.0</v>
      </c>
      <c r="Y12" s="19">
        <f t="shared" si="9"/>
        <v>0</v>
      </c>
      <c r="Z12" s="20">
        <v>0.0</v>
      </c>
      <c r="AA12" s="19">
        <f t="shared" si="10"/>
        <v>0</v>
      </c>
      <c r="AB12" s="23">
        <f t="shared" si="11"/>
        <v>4</v>
      </c>
      <c r="AC12" s="23">
        <f t="shared" si="12"/>
        <v>0</v>
      </c>
    </row>
    <row r="13" ht="31.5" customHeight="1">
      <c r="A13" s="18"/>
      <c r="B13" s="11"/>
      <c r="C13" s="12" t="s">
        <v>122</v>
      </c>
      <c r="D13" s="13" t="s">
        <v>125</v>
      </c>
      <c r="E13" s="14" t="s">
        <v>49</v>
      </c>
      <c r="F13" s="15" t="s">
        <v>43</v>
      </c>
      <c r="G13" s="16">
        <v>3.0</v>
      </c>
      <c r="H13" s="20">
        <v>0.0</v>
      </c>
      <c r="I13" s="19">
        <f t="shared" si="1"/>
        <v>3</v>
      </c>
      <c r="J13" s="17">
        <v>3.0</v>
      </c>
      <c r="K13" s="19">
        <f t="shared" si="2"/>
        <v>0</v>
      </c>
      <c r="L13" s="20">
        <v>0.0</v>
      </c>
      <c r="M13" s="19">
        <f t="shared" si="3"/>
        <v>0</v>
      </c>
      <c r="N13" s="20">
        <v>0.0</v>
      </c>
      <c r="O13" s="19">
        <f t="shared" si="4"/>
        <v>0</v>
      </c>
      <c r="P13" s="20">
        <v>0.0</v>
      </c>
      <c r="Q13" s="19">
        <f t="shared" si="5"/>
        <v>0</v>
      </c>
      <c r="R13" s="20">
        <v>0.0</v>
      </c>
      <c r="S13" s="19">
        <f t="shared" si="6"/>
        <v>0</v>
      </c>
      <c r="T13" s="20">
        <v>0.0</v>
      </c>
      <c r="U13" s="19">
        <f t="shared" si="7"/>
        <v>0</v>
      </c>
      <c r="V13" s="20">
        <v>0.0</v>
      </c>
      <c r="W13" s="19">
        <f t="shared" si="8"/>
        <v>0</v>
      </c>
      <c r="X13" s="20">
        <v>0.0</v>
      </c>
      <c r="Y13" s="19">
        <f t="shared" si="9"/>
        <v>0</v>
      </c>
      <c r="Z13" s="20">
        <v>0.0</v>
      </c>
      <c r="AA13" s="19">
        <f t="shared" si="10"/>
        <v>0</v>
      </c>
      <c r="AB13" s="23">
        <f t="shared" si="11"/>
        <v>3</v>
      </c>
      <c r="AC13" s="23">
        <f t="shared" si="12"/>
        <v>0</v>
      </c>
    </row>
    <row r="14" ht="31.5" customHeight="1">
      <c r="A14" s="18"/>
      <c r="B14" s="11"/>
      <c r="C14" s="12" t="s">
        <v>138</v>
      </c>
      <c r="D14" s="13" t="s">
        <v>139</v>
      </c>
      <c r="E14" s="14" t="s">
        <v>41</v>
      </c>
      <c r="F14" s="15" t="s">
        <v>43</v>
      </c>
      <c r="G14" s="16">
        <v>4.0</v>
      </c>
      <c r="H14" s="20">
        <v>0.0</v>
      </c>
      <c r="I14" s="19">
        <f t="shared" si="1"/>
        <v>4</v>
      </c>
      <c r="J14" s="20">
        <v>0.0</v>
      </c>
      <c r="K14" s="19">
        <f t="shared" si="2"/>
        <v>4</v>
      </c>
      <c r="L14" s="17">
        <v>4.0</v>
      </c>
      <c r="M14" s="19">
        <f t="shared" si="3"/>
        <v>0</v>
      </c>
      <c r="N14" s="20">
        <v>0.0</v>
      </c>
      <c r="O14" s="19">
        <f t="shared" si="4"/>
        <v>0</v>
      </c>
      <c r="P14" s="20">
        <v>0.0</v>
      </c>
      <c r="Q14" s="19">
        <f t="shared" si="5"/>
        <v>0</v>
      </c>
      <c r="R14" s="20">
        <v>0.0</v>
      </c>
      <c r="S14" s="19">
        <f t="shared" si="6"/>
        <v>0</v>
      </c>
      <c r="T14" s="20">
        <v>0.0</v>
      </c>
      <c r="U14" s="19">
        <f t="shared" si="7"/>
        <v>0</v>
      </c>
      <c r="V14" s="20">
        <v>0.0</v>
      </c>
      <c r="W14" s="19">
        <f t="shared" si="8"/>
        <v>0</v>
      </c>
      <c r="X14" s="20">
        <v>0.0</v>
      </c>
      <c r="Y14" s="19">
        <f t="shared" si="9"/>
        <v>0</v>
      </c>
      <c r="Z14" s="20">
        <v>0.0</v>
      </c>
      <c r="AA14" s="19">
        <f t="shared" si="10"/>
        <v>0</v>
      </c>
      <c r="AB14" s="23">
        <f t="shared" si="11"/>
        <v>4</v>
      </c>
      <c r="AC14" s="23">
        <f t="shared" si="12"/>
        <v>0</v>
      </c>
    </row>
    <row r="15" ht="31.5" customHeight="1">
      <c r="A15" s="18"/>
      <c r="B15" s="11"/>
      <c r="C15" s="12" t="s">
        <v>146</v>
      </c>
      <c r="D15" s="13" t="s">
        <v>147</v>
      </c>
      <c r="E15" s="14" t="s">
        <v>41</v>
      </c>
      <c r="F15" s="15" t="s">
        <v>43</v>
      </c>
      <c r="G15" s="16">
        <v>5.0</v>
      </c>
      <c r="H15" s="20">
        <v>0.0</v>
      </c>
      <c r="I15" s="19">
        <f t="shared" si="1"/>
        <v>5</v>
      </c>
      <c r="J15" s="20">
        <v>0.0</v>
      </c>
      <c r="K15" s="19">
        <f t="shared" si="2"/>
        <v>5</v>
      </c>
      <c r="L15" s="20">
        <v>0.0</v>
      </c>
      <c r="M15" s="19">
        <f t="shared" si="3"/>
        <v>5</v>
      </c>
      <c r="N15" s="17">
        <v>5.0</v>
      </c>
      <c r="O15" s="19">
        <f t="shared" si="4"/>
        <v>0</v>
      </c>
      <c r="P15" s="20">
        <v>0.0</v>
      </c>
      <c r="Q15" s="19">
        <f t="shared" si="5"/>
        <v>0</v>
      </c>
      <c r="R15" s="20">
        <v>0.0</v>
      </c>
      <c r="S15" s="19">
        <f t="shared" si="6"/>
        <v>0</v>
      </c>
      <c r="T15" s="20">
        <v>0.0</v>
      </c>
      <c r="U15" s="19">
        <f t="shared" si="7"/>
        <v>0</v>
      </c>
      <c r="V15" s="20">
        <v>0.0</v>
      </c>
      <c r="W15" s="19">
        <f t="shared" si="8"/>
        <v>0</v>
      </c>
      <c r="X15" s="20">
        <v>0.0</v>
      </c>
      <c r="Y15" s="19">
        <f t="shared" si="9"/>
        <v>0</v>
      </c>
      <c r="Z15" s="20">
        <v>0.0</v>
      </c>
      <c r="AA15" s="19">
        <f t="shared" si="10"/>
        <v>0</v>
      </c>
      <c r="AB15" s="23">
        <f t="shared" si="11"/>
        <v>5</v>
      </c>
      <c r="AC15" s="23">
        <f t="shared" si="12"/>
        <v>0</v>
      </c>
    </row>
    <row r="16" ht="31.5" customHeight="1">
      <c r="A16" s="18"/>
      <c r="B16" s="11"/>
      <c r="C16" s="12" t="s">
        <v>158</v>
      </c>
      <c r="D16" s="13" t="s">
        <v>159</v>
      </c>
      <c r="E16" s="14" t="s">
        <v>73</v>
      </c>
      <c r="F16" s="15" t="s">
        <v>43</v>
      </c>
      <c r="G16" s="16">
        <v>4.0</v>
      </c>
      <c r="H16" s="17">
        <v>4.0</v>
      </c>
      <c r="I16" s="19">
        <f t="shared" si="1"/>
        <v>0</v>
      </c>
      <c r="J16" s="20">
        <v>0.0</v>
      </c>
      <c r="K16" s="19">
        <f t="shared" si="2"/>
        <v>0</v>
      </c>
      <c r="L16" s="20">
        <v>0.0</v>
      </c>
      <c r="M16" s="19">
        <f t="shared" si="3"/>
        <v>0</v>
      </c>
      <c r="N16" s="20">
        <v>0.0</v>
      </c>
      <c r="O16" s="19">
        <f t="shared" si="4"/>
        <v>0</v>
      </c>
      <c r="P16" s="20">
        <v>0.0</v>
      </c>
      <c r="Q16" s="19">
        <f t="shared" si="5"/>
        <v>0</v>
      </c>
      <c r="R16" s="20">
        <v>0.0</v>
      </c>
      <c r="S16" s="19">
        <f t="shared" si="6"/>
        <v>0</v>
      </c>
      <c r="T16" s="20">
        <v>0.0</v>
      </c>
      <c r="U16" s="19">
        <f t="shared" si="7"/>
        <v>0</v>
      </c>
      <c r="V16" s="20">
        <v>0.0</v>
      </c>
      <c r="W16" s="19">
        <f t="shared" si="8"/>
        <v>0</v>
      </c>
      <c r="X16" s="20">
        <v>0.0</v>
      </c>
      <c r="Y16" s="19">
        <f t="shared" si="9"/>
        <v>0</v>
      </c>
      <c r="Z16" s="20">
        <v>0.0</v>
      </c>
      <c r="AA16" s="19">
        <f t="shared" si="10"/>
        <v>0</v>
      </c>
      <c r="AB16" s="23">
        <f t="shared" si="11"/>
        <v>4</v>
      </c>
      <c r="AC16" s="23">
        <f t="shared" si="12"/>
        <v>0</v>
      </c>
    </row>
    <row r="17" ht="31.5" customHeight="1">
      <c r="A17" s="18" t="s">
        <v>168</v>
      </c>
      <c r="B17" s="11" t="s">
        <v>170</v>
      </c>
      <c r="C17" s="12" t="s">
        <v>171</v>
      </c>
      <c r="D17" s="13" t="s">
        <v>173</v>
      </c>
      <c r="E17" s="14" t="s">
        <v>41</v>
      </c>
      <c r="F17" s="15" t="s">
        <v>43</v>
      </c>
      <c r="G17" s="16">
        <v>4.0</v>
      </c>
      <c r="H17" s="20">
        <v>0.0</v>
      </c>
      <c r="I17" s="19">
        <f t="shared" si="1"/>
        <v>4</v>
      </c>
      <c r="J17" s="20">
        <v>0.0</v>
      </c>
      <c r="K17" s="19">
        <f t="shared" si="2"/>
        <v>4</v>
      </c>
      <c r="L17" s="20">
        <v>0.0</v>
      </c>
      <c r="M17" s="19">
        <f t="shared" si="3"/>
        <v>4</v>
      </c>
      <c r="N17" s="17">
        <v>3.0</v>
      </c>
      <c r="O17" s="19">
        <f t="shared" si="4"/>
        <v>1</v>
      </c>
      <c r="P17" s="17">
        <v>1.0</v>
      </c>
      <c r="Q17" s="19">
        <f t="shared" si="5"/>
        <v>0</v>
      </c>
      <c r="R17" s="20">
        <v>0.0</v>
      </c>
      <c r="S17" s="19">
        <f t="shared" si="6"/>
        <v>0</v>
      </c>
      <c r="T17" s="20">
        <v>0.0</v>
      </c>
      <c r="U17" s="19">
        <f t="shared" si="7"/>
        <v>0</v>
      </c>
      <c r="V17" s="20">
        <v>0.0</v>
      </c>
      <c r="W17" s="19">
        <f t="shared" si="8"/>
        <v>0</v>
      </c>
      <c r="X17" s="20">
        <v>0.0</v>
      </c>
      <c r="Y17" s="19">
        <f t="shared" si="9"/>
        <v>0</v>
      </c>
      <c r="Z17" s="20">
        <v>0.0</v>
      </c>
      <c r="AA17" s="19">
        <f t="shared" si="10"/>
        <v>0</v>
      </c>
      <c r="AB17" s="23">
        <f t="shared" si="11"/>
        <v>4</v>
      </c>
      <c r="AC17" s="23">
        <f t="shared" si="12"/>
        <v>0</v>
      </c>
    </row>
    <row r="18" ht="31.5" customHeight="1">
      <c r="A18" s="18"/>
      <c r="B18" s="11"/>
      <c r="C18" s="12" t="s">
        <v>178</v>
      </c>
      <c r="D18" s="13" t="s">
        <v>179</v>
      </c>
      <c r="E18" s="14" t="s">
        <v>49</v>
      </c>
      <c r="F18" s="15" t="s">
        <v>43</v>
      </c>
      <c r="G18" s="16">
        <v>4.0</v>
      </c>
      <c r="H18" s="20">
        <v>0.0</v>
      </c>
      <c r="I18" s="19">
        <f t="shared" si="1"/>
        <v>4</v>
      </c>
      <c r="J18" s="17">
        <v>4.0</v>
      </c>
      <c r="K18" s="19">
        <f t="shared" si="2"/>
        <v>0</v>
      </c>
      <c r="L18" s="20">
        <v>0.0</v>
      </c>
      <c r="M18" s="19">
        <f t="shared" si="3"/>
        <v>0</v>
      </c>
      <c r="N18" s="20">
        <v>0.0</v>
      </c>
      <c r="O18" s="19">
        <f t="shared" si="4"/>
        <v>0</v>
      </c>
      <c r="P18" s="20">
        <v>0.0</v>
      </c>
      <c r="Q18" s="19">
        <f t="shared" si="5"/>
        <v>0</v>
      </c>
      <c r="R18" s="20">
        <v>0.0</v>
      </c>
      <c r="S18" s="19">
        <f t="shared" si="6"/>
        <v>0</v>
      </c>
      <c r="T18" s="20">
        <v>0.0</v>
      </c>
      <c r="U18" s="19">
        <f t="shared" si="7"/>
        <v>0</v>
      </c>
      <c r="V18" s="20">
        <v>0.0</v>
      </c>
      <c r="W18" s="19">
        <f t="shared" si="8"/>
        <v>0</v>
      </c>
      <c r="X18" s="20">
        <v>0.0</v>
      </c>
      <c r="Y18" s="19">
        <f t="shared" si="9"/>
        <v>0</v>
      </c>
      <c r="Z18" s="20">
        <v>0.0</v>
      </c>
      <c r="AA18" s="19">
        <f t="shared" si="10"/>
        <v>0</v>
      </c>
      <c r="AB18" s="23">
        <f t="shared" si="11"/>
        <v>4</v>
      </c>
      <c r="AC18" s="23">
        <f t="shared" si="12"/>
        <v>0</v>
      </c>
    </row>
    <row r="19" ht="31.5" customHeight="1">
      <c r="A19" s="18"/>
      <c r="B19" s="11"/>
      <c r="C19" s="12" t="s">
        <v>186</v>
      </c>
      <c r="D19" s="13" t="s">
        <v>187</v>
      </c>
      <c r="E19" s="14" t="s">
        <v>73</v>
      </c>
      <c r="F19" s="15" t="s">
        <v>43</v>
      </c>
      <c r="G19" s="16">
        <v>3.0</v>
      </c>
      <c r="H19" s="20">
        <v>0.0</v>
      </c>
      <c r="I19" s="19">
        <f t="shared" si="1"/>
        <v>3</v>
      </c>
      <c r="J19" s="17">
        <v>3.0</v>
      </c>
      <c r="K19" s="19">
        <f t="shared" si="2"/>
        <v>0</v>
      </c>
      <c r="L19" s="20">
        <v>0.0</v>
      </c>
      <c r="M19" s="19">
        <f t="shared" si="3"/>
        <v>0</v>
      </c>
      <c r="N19" s="20">
        <v>0.0</v>
      </c>
      <c r="O19" s="19">
        <f t="shared" si="4"/>
        <v>0</v>
      </c>
      <c r="P19" s="20">
        <v>0.0</v>
      </c>
      <c r="Q19" s="19">
        <f t="shared" si="5"/>
        <v>0</v>
      </c>
      <c r="R19" s="20">
        <v>0.0</v>
      </c>
      <c r="S19" s="19">
        <f t="shared" si="6"/>
        <v>0</v>
      </c>
      <c r="T19" s="20">
        <v>0.0</v>
      </c>
      <c r="U19" s="19">
        <f t="shared" si="7"/>
        <v>0</v>
      </c>
      <c r="V19" s="20">
        <v>0.0</v>
      </c>
      <c r="W19" s="19">
        <f t="shared" si="8"/>
        <v>0</v>
      </c>
      <c r="X19" s="20">
        <v>0.0</v>
      </c>
      <c r="Y19" s="19">
        <f t="shared" si="9"/>
        <v>0</v>
      </c>
      <c r="Z19" s="20">
        <v>0.0</v>
      </c>
      <c r="AA19" s="19">
        <f t="shared" si="10"/>
        <v>0</v>
      </c>
      <c r="AB19" s="23">
        <f t="shared" si="11"/>
        <v>3</v>
      </c>
      <c r="AC19" s="23">
        <f t="shared" si="12"/>
        <v>0</v>
      </c>
    </row>
    <row r="20" ht="31.5" customHeight="1">
      <c r="A20" s="18" t="s">
        <v>191</v>
      </c>
      <c r="B20" s="11" t="s">
        <v>192</v>
      </c>
      <c r="C20" s="12" t="s">
        <v>193</v>
      </c>
      <c r="D20" s="13" t="s">
        <v>194</v>
      </c>
      <c r="E20" s="14" t="s">
        <v>49</v>
      </c>
      <c r="F20" s="15" t="s">
        <v>43</v>
      </c>
      <c r="G20" s="16">
        <v>5.0</v>
      </c>
      <c r="H20" s="20">
        <v>0.0</v>
      </c>
      <c r="I20" s="19">
        <f t="shared" si="1"/>
        <v>5</v>
      </c>
      <c r="J20" s="20">
        <v>0.0</v>
      </c>
      <c r="K20" s="19">
        <f t="shared" si="2"/>
        <v>5</v>
      </c>
      <c r="L20" s="17">
        <v>5.0</v>
      </c>
      <c r="M20" s="19">
        <f t="shared" si="3"/>
        <v>0</v>
      </c>
      <c r="N20" s="20">
        <v>0.0</v>
      </c>
      <c r="O20" s="19">
        <f t="shared" si="4"/>
        <v>0</v>
      </c>
      <c r="P20" s="20">
        <v>0.0</v>
      </c>
      <c r="Q20" s="19">
        <f t="shared" si="5"/>
        <v>0</v>
      </c>
      <c r="R20" s="20">
        <v>0.0</v>
      </c>
      <c r="S20" s="19">
        <f t="shared" si="6"/>
        <v>0</v>
      </c>
      <c r="T20" s="20">
        <v>0.0</v>
      </c>
      <c r="U20" s="19">
        <f t="shared" si="7"/>
        <v>0</v>
      </c>
      <c r="V20" s="20">
        <v>0.0</v>
      </c>
      <c r="W20" s="19">
        <f t="shared" si="8"/>
        <v>0</v>
      </c>
      <c r="X20" s="20">
        <v>0.0</v>
      </c>
      <c r="Y20" s="19">
        <f t="shared" si="9"/>
        <v>0</v>
      </c>
      <c r="Z20" s="20">
        <v>0.0</v>
      </c>
      <c r="AA20" s="19">
        <f t="shared" si="10"/>
        <v>0</v>
      </c>
      <c r="AB20" s="23">
        <f t="shared" si="11"/>
        <v>5</v>
      </c>
      <c r="AC20" s="23">
        <f t="shared" si="12"/>
        <v>0</v>
      </c>
    </row>
    <row r="21" ht="31.5" customHeight="1">
      <c r="A21" s="18"/>
      <c r="B21" s="11"/>
      <c r="C21" s="12" t="s">
        <v>203</v>
      </c>
      <c r="D21" s="13" t="s">
        <v>204</v>
      </c>
      <c r="E21" s="14" t="s">
        <v>49</v>
      </c>
      <c r="F21" s="15" t="s">
        <v>43</v>
      </c>
      <c r="G21" s="16">
        <v>4.0</v>
      </c>
      <c r="H21" s="20">
        <v>0.0</v>
      </c>
      <c r="I21" s="19">
        <f t="shared" si="1"/>
        <v>4</v>
      </c>
      <c r="J21" s="20">
        <v>0.0</v>
      </c>
      <c r="K21" s="19">
        <f t="shared" si="2"/>
        <v>4</v>
      </c>
      <c r="L21" s="17">
        <v>3.0</v>
      </c>
      <c r="M21" s="19">
        <f t="shared" si="3"/>
        <v>1</v>
      </c>
      <c r="N21" s="17">
        <v>1.0</v>
      </c>
      <c r="O21" s="19">
        <f t="shared" si="4"/>
        <v>0</v>
      </c>
      <c r="P21" s="20">
        <v>0.0</v>
      </c>
      <c r="Q21" s="19">
        <f t="shared" si="5"/>
        <v>0</v>
      </c>
      <c r="R21" s="20">
        <v>0.0</v>
      </c>
      <c r="S21" s="19">
        <f t="shared" si="6"/>
        <v>0</v>
      </c>
      <c r="T21" s="20">
        <v>0.0</v>
      </c>
      <c r="U21" s="19">
        <f t="shared" si="7"/>
        <v>0</v>
      </c>
      <c r="V21" s="20">
        <v>0.0</v>
      </c>
      <c r="W21" s="19">
        <f t="shared" si="8"/>
        <v>0</v>
      </c>
      <c r="X21" s="20">
        <v>0.0</v>
      </c>
      <c r="Y21" s="19">
        <f t="shared" si="9"/>
        <v>0</v>
      </c>
      <c r="Z21" s="20">
        <v>0.0</v>
      </c>
      <c r="AA21" s="19">
        <f t="shared" si="10"/>
        <v>0</v>
      </c>
      <c r="AB21" s="23">
        <f t="shared" si="11"/>
        <v>4</v>
      </c>
      <c r="AC21" s="23">
        <f t="shared" si="12"/>
        <v>0</v>
      </c>
    </row>
    <row r="22" ht="31.5" customHeight="1">
      <c r="A22" s="18"/>
      <c r="B22" s="11"/>
      <c r="C22" s="12" t="s">
        <v>207</v>
      </c>
      <c r="D22" s="13" t="s">
        <v>208</v>
      </c>
      <c r="E22" s="14" t="s">
        <v>41</v>
      </c>
      <c r="F22" s="15" t="s">
        <v>43</v>
      </c>
      <c r="G22" s="16">
        <v>5.0</v>
      </c>
      <c r="H22" s="20">
        <v>0.0</v>
      </c>
      <c r="I22" s="19">
        <f t="shared" si="1"/>
        <v>5</v>
      </c>
      <c r="J22" s="20">
        <v>0.0</v>
      </c>
      <c r="K22" s="19">
        <f t="shared" si="2"/>
        <v>5</v>
      </c>
      <c r="L22" s="20">
        <v>0.0</v>
      </c>
      <c r="M22" s="19">
        <f t="shared" si="3"/>
        <v>5</v>
      </c>
      <c r="N22" s="20">
        <v>0.0</v>
      </c>
      <c r="O22" s="19">
        <f t="shared" si="4"/>
        <v>5</v>
      </c>
      <c r="P22" s="17">
        <v>5.0</v>
      </c>
      <c r="Q22" s="19">
        <f t="shared" si="5"/>
        <v>0</v>
      </c>
      <c r="R22" s="20">
        <v>0.0</v>
      </c>
      <c r="S22" s="19">
        <f t="shared" si="6"/>
        <v>0</v>
      </c>
      <c r="T22" s="20">
        <v>0.0</v>
      </c>
      <c r="U22" s="19">
        <f t="shared" si="7"/>
        <v>0</v>
      </c>
      <c r="V22" s="20">
        <v>0.0</v>
      </c>
      <c r="W22" s="19">
        <f t="shared" si="8"/>
        <v>0</v>
      </c>
      <c r="X22" s="20">
        <v>0.0</v>
      </c>
      <c r="Y22" s="19">
        <f t="shared" si="9"/>
        <v>0</v>
      </c>
      <c r="Z22" s="20">
        <v>0.0</v>
      </c>
      <c r="AA22" s="19">
        <f t="shared" si="10"/>
        <v>0</v>
      </c>
      <c r="AB22" s="23">
        <f t="shared" si="11"/>
        <v>5</v>
      </c>
      <c r="AC22" s="23">
        <f t="shared" si="12"/>
        <v>0</v>
      </c>
    </row>
    <row r="23" ht="31.5" customHeight="1">
      <c r="A23" s="18"/>
      <c r="B23" s="11"/>
      <c r="C23" s="12" t="s">
        <v>212</v>
      </c>
      <c r="D23" s="13" t="s">
        <v>214</v>
      </c>
      <c r="E23" s="14" t="s">
        <v>41</v>
      </c>
      <c r="F23" s="15" t="s">
        <v>43</v>
      </c>
      <c r="G23" s="16">
        <v>5.0</v>
      </c>
      <c r="H23" s="20">
        <v>0.0</v>
      </c>
      <c r="I23" s="19">
        <f t="shared" si="1"/>
        <v>5</v>
      </c>
      <c r="J23" s="20">
        <v>0.0</v>
      </c>
      <c r="K23" s="19">
        <f t="shared" si="2"/>
        <v>5</v>
      </c>
      <c r="L23" s="20">
        <v>0.0</v>
      </c>
      <c r="M23" s="19">
        <f t="shared" si="3"/>
        <v>5</v>
      </c>
      <c r="N23" s="20">
        <v>0.0</v>
      </c>
      <c r="O23" s="19">
        <f t="shared" si="4"/>
        <v>5</v>
      </c>
      <c r="P23" s="17">
        <v>2.0</v>
      </c>
      <c r="Q23" s="19">
        <f t="shared" si="5"/>
        <v>3</v>
      </c>
      <c r="R23" s="17">
        <v>3.0</v>
      </c>
      <c r="S23" s="19">
        <f t="shared" si="6"/>
        <v>0</v>
      </c>
      <c r="T23" s="20">
        <v>0.0</v>
      </c>
      <c r="U23" s="19">
        <f t="shared" si="7"/>
        <v>0</v>
      </c>
      <c r="V23" s="20">
        <v>0.0</v>
      </c>
      <c r="W23" s="19">
        <f t="shared" si="8"/>
        <v>0</v>
      </c>
      <c r="X23" s="20">
        <v>0.0</v>
      </c>
      <c r="Y23" s="19">
        <f t="shared" si="9"/>
        <v>0</v>
      </c>
      <c r="Z23" s="20">
        <v>0.0</v>
      </c>
      <c r="AA23" s="19">
        <f t="shared" si="10"/>
        <v>0</v>
      </c>
      <c r="AB23" s="23">
        <f t="shared" si="11"/>
        <v>5</v>
      </c>
      <c r="AC23" s="23">
        <f t="shared" si="12"/>
        <v>0</v>
      </c>
    </row>
    <row r="24" ht="31.5" customHeight="1">
      <c r="A24" s="18"/>
      <c r="B24" s="11"/>
      <c r="C24" s="12" t="s">
        <v>215</v>
      </c>
      <c r="D24" s="13" t="s">
        <v>216</v>
      </c>
      <c r="E24" s="14" t="s">
        <v>73</v>
      </c>
      <c r="F24" s="15" t="s">
        <v>43</v>
      </c>
      <c r="G24" s="16">
        <v>4.0</v>
      </c>
      <c r="H24" s="20">
        <v>0.0</v>
      </c>
      <c r="I24" s="19">
        <f t="shared" si="1"/>
        <v>4</v>
      </c>
      <c r="J24" s="17">
        <v>4.0</v>
      </c>
      <c r="K24" s="19">
        <f t="shared" si="2"/>
        <v>0</v>
      </c>
      <c r="L24" s="20">
        <v>0.0</v>
      </c>
      <c r="M24" s="19">
        <f t="shared" si="3"/>
        <v>0</v>
      </c>
      <c r="N24" s="20">
        <v>0.0</v>
      </c>
      <c r="O24" s="19">
        <f t="shared" si="4"/>
        <v>0</v>
      </c>
      <c r="P24" s="20">
        <v>0.0</v>
      </c>
      <c r="Q24" s="19">
        <f t="shared" si="5"/>
        <v>0</v>
      </c>
      <c r="R24" s="20">
        <v>0.0</v>
      </c>
      <c r="S24" s="19">
        <f t="shared" si="6"/>
        <v>0</v>
      </c>
      <c r="T24" s="20">
        <v>0.0</v>
      </c>
      <c r="U24" s="19">
        <f t="shared" si="7"/>
        <v>0</v>
      </c>
      <c r="V24" s="20">
        <v>0.0</v>
      </c>
      <c r="W24" s="19">
        <f t="shared" si="8"/>
        <v>0</v>
      </c>
      <c r="X24" s="20">
        <v>0.0</v>
      </c>
      <c r="Y24" s="19">
        <f t="shared" si="9"/>
        <v>0</v>
      </c>
      <c r="Z24" s="20">
        <v>0.0</v>
      </c>
      <c r="AA24" s="19">
        <f t="shared" si="10"/>
        <v>0</v>
      </c>
      <c r="AB24" s="23">
        <f t="shared" si="11"/>
        <v>4</v>
      </c>
      <c r="AC24" s="23">
        <f t="shared" si="12"/>
        <v>0</v>
      </c>
    </row>
    <row r="25" ht="31.5" customHeight="1">
      <c r="A25" s="25" t="s">
        <v>217</v>
      </c>
      <c r="B25" s="11" t="s">
        <v>218</v>
      </c>
      <c r="C25" s="12" t="s">
        <v>219</v>
      </c>
      <c r="D25" s="13" t="s">
        <v>220</v>
      </c>
      <c r="E25" s="14" t="s">
        <v>49</v>
      </c>
      <c r="F25" s="15" t="s">
        <v>43</v>
      </c>
      <c r="G25" s="16">
        <v>4.0</v>
      </c>
      <c r="H25" s="20">
        <v>0.0</v>
      </c>
      <c r="I25" s="19">
        <f t="shared" si="1"/>
        <v>4</v>
      </c>
      <c r="J25" s="20">
        <v>0.0</v>
      </c>
      <c r="K25" s="19">
        <f t="shared" si="2"/>
        <v>4</v>
      </c>
      <c r="L25" s="20">
        <v>0.0</v>
      </c>
      <c r="M25" s="19">
        <f t="shared" si="3"/>
        <v>4</v>
      </c>
      <c r="N25" s="17">
        <v>4.0</v>
      </c>
      <c r="O25" s="19">
        <f t="shared" si="4"/>
        <v>0</v>
      </c>
      <c r="P25" s="20">
        <v>0.0</v>
      </c>
      <c r="Q25" s="19">
        <f t="shared" si="5"/>
        <v>0</v>
      </c>
      <c r="R25" s="20">
        <v>0.0</v>
      </c>
      <c r="S25" s="19">
        <f t="shared" si="6"/>
        <v>0</v>
      </c>
      <c r="T25" s="20">
        <v>0.0</v>
      </c>
      <c r="U25" s="19">
        <f t="shared" si="7"/>
        <v>0</v>
      </c>
      <c r="V25" s="20">
        <v>0.0</v>
      </c>
      <c r="W25" s="19">
        <f t="shared" si="8"/>
        <v>0</v>
      </c>
      <c r="X25" s="20">
        <v>0.0</v>
      </c>
      <c r="Y25" s="19">
        <f t="shared" si="9"/>
        <v>0</v>
      </c>
      <c r="Z25" s="20">
        <v>0.0</v>
      </c>
      <c r="AA25" s="19">
        <f t="shared" si="10"/>
        <v>0</v>
      </c>
      <c r="AB25" s="23">
        <f t="shared" si="11"/>
        <v>4</v>
      </c>
      <c r="AC25" s="23">
        <f t="shared" si="12"/>
        <v>0</v>
      </c>
    </row>
    <row r="26" ht="31.5" customHeight="1">
      <c r="A26" s="25"/>
      <c r="B26" s="11"/>
      <c r="C26" s="12" t="s">
        <v>221</v>
      </c>
      <c r="D26" s="13" t="s">
        <v>222</v>
      </c>
      <c r="E26" s="14" t="s">
        <v>49</v>
      </c>
      <c r="F26" s="15" t="s">
        <v>43</v>
      </c>
      <c r="G26" s="16">
        <v>4.0</v>
      </c>
      <c r="H26" s="20">
        <v>0.0</v>
      </c>
      <c r="I26" s="19">
        <f t="shared" si="1"/>
        <v>4</v>
      </c>
      <c r="J26" s="20">
        <v>0.0</v>
      </c>
      <c r="K26" s="19">
        <f t="shared" si="2"/>
        <v>4</v>
      </c>
      <c r="L26" s="20">
        <v>0.0</v>
      </c>
      <c r="M26" s="19">
        <f t="shared" si="3"/>
        <v>4</v>
      </c>
      <c r="N26" s="17">
        <v>3.0</v>
      </c>
      <c r="O26" s="19">
        <f t="shared" si="4"/>
        <v>1</v>
      </c>
      <c r="P26" s="17">
        <v>1.0</v>
      </c>
      <c r="Q26" s="19">
        <f t="shared" si="5"/>
        <v>0</v>
      </c>
      <c r="R26" s="20">
        <v>0.0</v>
      </c>
      <c r="S26" s="19">
        <f t="shared" si="6"/>
        <v>0</v>
      </c>
      <c r="T26" s="20">
        <v>0.0</v>
      </c>
      <c r="U26" s="19">
        <f t="shared" si="7"/>
        <v>0</v>
      </c>
      <c r="V26" s="20">
        <v>0.0</v>
      </c>
      <c r="W26" s="19">
        <f t="shared" si="8"/>
        <v>0</v>
      </c>
      <c r="X26" s="20">
        <v>0.0</v>
      </c>
      <c r="Y26" s="19">
        <f t="shared" si="9"/>
        <v>0</v>
      </c>
      <c r="Z26" s="20">
        <v>0.0</v>
      </c>
      <c r="AA26" s="19">
        <f t="shared" si="10"/>
        <v>0</v>
      </c>
      <c r="AB26" s="23">
        <f t="shared" si="11"/>
        <v>4</v>
      </c>
      <c r="AC26" s="23">
        <f t="shared" si="12"/>
        <v>0</v>
      </c>
    </row>
    <row r="27" ht="31.5" customHeight="1">
      <c r="A27" s="25"/>
      <c r="B27" s="11"/>
      <c r="C27" s="12" t="s">
        <v>223</v>
      </c>
      <c r="D27" s="13" t="s">
        <v>224</v>
      </c>
      <c r="E27" s="14" t="s">
        <v>73</v>
      </c>
      <c r="F27" s="15" t="s">
        <v>43</v>
      </c>
      <c r="G27" s="16">
        <v>3.0</v>
      </c>
      <c r="H27" s="20">
        <v>0.0</v>
      </c>
      <c r="I27" s="19">
        <f t="shared" si="1"/>
        <v>3</v>
      </c>
      <c r="J27" s="17">
        <v>1.0</v>
      </c>
      <c r="K27" s="19">
        <f t="shared" si="2"/>
        <v>2</v>
      </c>
      <c r="L27" s="17">
        <v>2.0</v>
      </c>
      <c r="M27" s="19">
        <f t="shared" si="3"/>
        <v>0</v>
      </c>
      <c r="N27" s="20">
        <v>0.0</v>
      </c>
      <c r="O27" s="19">
        <f t="shared" si="4"/>
        <v>0</v>
      </c>
      <c r="P27" s="20">
        <v>0.0</v>
      </c>
      <c r="Q27" s="19">
        <f t="shared" si="5"/>
        <v>0</v>
      </c>
      <c r="R27" s="20">
        <v>0.0</v>
      </c>
      <c r="S27" s="19">
        <f t="shared" si="6"/>
        <v>0</v>
      </c>
      <c r="T27" s="20">
        <v>0.0</v>
      </c>
      <c r="U27" s="19">
        <f t="shared" si="7"/>
        <v>0</v>
      </c>
      <c r="V27" s="20">
        <v>0.0</v>
      </c>
      <c r="W27" s="19">
        <f t="shared" si="8"/>
        <v>0</v>
      </c>
      <c r="X27" s="20">
        <v>0.0</v>
      </c>
      <c r="Y27" s="19">
        <f t="shared" si="9"/>
        <v>0</v>
      </c>
      <c r="Z27" s="20">
        <v>0.0</v>
      </c>
      <c r="AA27" s="19">
        <f t="shared" si="10"/>
        <v>0</v>
      </c>
      <c r="AB27" s="23">
        <f t="shared" si="11"/>
        <v>3</v>
      </c>
      <c r="AC27" s="23">
        <f t="shared" si="12"/>
        <v>0</v>
      </c>
    </row>
    <row r="28" ht="15.75" customHeight="1">
      <c r="A28" s="27"/>
      <c r="B28" s="27"/>
      <c r="C28" s="27"/>
      <c r="D28" s="28" t="s">
        <v>190</v>
      </c>
      <c r="E28" s="27"/>
      <c r="F28" s="27"/>
      <c r="G28" s="29">
        <f t="shared" ref="G28:H28" si="13">SUM(G6:G27)</f>
        <v>94</v>
      </c>
      <c r="H28" s="30">
        <f t="shared" si="13"/>
        <v>24</v>
      </c>
      <c r="I28" s="27"/>
      <c r="J28" s="30">
        <f>SUM(J6:J27)</f>
        <v>24</v>
      </c>
      <c r="K28" s="27"/>
      <c r="L28" s="30">
        <f>SUM(L6:L27)</f>
        <v>18</v>
      </c>
      <c r="M28" s="27"/>
      <c r="N28" s="30">
        <f>SUM(N6:N27)</f>
        <v>16</v>
      </c>
      <c r="O28" s="27"/>
      <c r="P28" s="30">
        <f>SUM(P6:P27)</f>
        <v>9</v>
      </c>
      <c r="Q28" s="27"/>
      <c r="R28" s="30">
        <f>SUM(R6:R27)</f>
        <v>3</v>
      </c>
      <c r="S28" s="27"/>
      <c r="T28" s="30">
        <f>SUM(T6:T27)</f>
        <v>0</v>
      </c>
      <c r="U28" s="27"/>
      <c r="V28" s="30">
        <f>SUM(V6:V27)</f>
        <v>0</v>
      </c>
      <c r="W28" s="27"/>
      <c r="X28" s="30">
        <f>SUM(X6:X27)</f>
        <v>0</v>
      </c>
      <c r="Y28" s="27"/>
      <c r="Z28" s="30">
        <f>SUM(Z6:Z27)</f>
        <v>0</v>
      </c>
      <c r="AA28" s="27"/>
      <c r="AB28" s="30">
        <f t="shared" ref="AB28:AC28" si="14">SUM(AB6:AB27)</f>
        <v>94</v>
      </c>
      <c r="AC28" s="30">
        <f t="shared" si="14"/>
        <v>0</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R4:S4"/>
    <mergeCell ref="T4:U4"/>
    <mergeCell ref="V4:W4"/>
    <mergeCell ref="X4:Y4"/>
    <mergeCell ref="Z4:AA4"/>
    <mergeCell ref="A1:H1"/>
    <mergeCell ref="A2:H2"/>
    <mergeCell ref="H4:I4"/>
    <mergeCell ref="J4:K4"/>
    <mergeCell ref="L4:M4"/>
    <mergeCell ref="N4:O4"/>
    <mergeCell ref="P4:Q4"/>
  </mergeCells>
  <printOptions/>
  <pageMargins bottom="1.0" footer="0.0" header="0.0" left="0.35" right="0.35" top="1.0"/>
  <pageSetup paperSize="3" orientation="landscape"/>
  <headerFooter>
    <oddFooter>&amp;LSprint backlog 3 — Haircut Home Studio&amp;RTareas y horas del PDF</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4.43" defaultRowHeight="15.0"/>
  <cols>
    <col customWidth="1" min="1" max="1" width="14.0"/>
    <col customWidth="1" min="2" max="2" width="36.0"/>
    <col customWidth="1" min="3" max="3" width="16.0"/>
    <col customWidth="1" min="4" max="4" width="42.0"/>
    <col customWidth="1" min="5" max="5" width="18.0"/>
    <col customWidth="1" min="6" max="6" width="14.0"/>
    <col customWidth="1" min="7" max="7" width="10.0"/>
    <col customWidth="1" min="8" max="27" width="6.0"/>
    <col customWidth="1" min="28" max="28" width="11.0"/>
    <col customWidth="1" min="29" max="29" width="12.0"/>
  </cols>
  <sheetData>
    <row r="1" ht="24.0" customHeight="1">
      <c r="A1" s="1" t="s">
        <v>50</v>
      </c>
    </row>
    <row r="2">
      <c r="A2" s="3" t="s">
        <v>51</v>
      </c>
    </row>
    <row r="4" ht="21.75" customHeight="1">
      <c r="A4" s="4" t="s">
        <v>11</v>
      </c>
      <c r="B4" s="4" t="s">
        <v>16</v>
      </c>
      <c r="C4" s="4" t="s">
        <v>17</v>
      </c>
      <c r="D4" s="4" t="s">
        <v>18</v>
      </c>
      <c r="E4" s="4" t="s">
        <v>19</v>
      </c>
      <c r="F4" s="4" t="s">
        <v>20</v>
      </c>
      <c r="G4" s="4" t="s">
        <v>21</v>
      </c>
      <c r="H4" s="5" t="s">
        <v>22</v>
      </c>
      <c r="I4" s="6"/>
      <c r="J4" s="5" t="s">
        <v>23</v>
      </c>
      <c r="K4" s="6"/>
      <c r="L4" s="5" t="s">
        <v>24</v>
      </c>
      <c r="M4" s="6"/>
      <c r="N4" s="5" t="s">
        <v>25</v>
      </c>
      <c r="O4" s="6"/>
      <c r="P4" s="5" t="s">
        <v>26</v>
      </c>
      <c r="Q4" s="6"/>
      <c r="R4" s="5" t="s">
        <v>27</v>
      </c>
      <c r="S4" s="6"/>
      <c r="T4" s="5" t="s">
        <v>28</v>
      </c>
      <c r="U4" s="6"/>
      <c r="V4" s="5" t="s">
        <v>29</v>
      </c>
      <c r="W4" s="6"/>
      <c r="X4" s="5" t="s">
        <v>30</v>
      </c>
      <c r="Y4" s="6"/>
      <c r="Z4" s="5" t="s">
        <v>31</v>
      </c>
      <c r="AA4" s="6"/>
      <c r="AB4" s="4" t="s">
        <v>32</v>
      </c>
      <c r="AC4" s="4" t="s">
        <v>33</v>
      </c>
    </row>
    <row r="5">
      <c r="H5" s="7">
        <v>46307.0</v>
      </c>
      <c r="I5" s="8" t="s">
        <v>34</v>
      </c>
      <c r="J5" s="7">
        <v>46308.0</v>
      </c>
      <c r="K5" s="8" t="s">
        <v>34</v>
      </c>
      <c r="L5" s="7">
        <v>46309.0</v>
      </c>
      <c r="M5" s="8" t="s">
        <v>34</v>
      </c>
      <c r="N5" s="7">
        <v>46310.0</v>
      </c>
      <c r="O5" s="8" t="s">
        <v>34</v>
      </c>
      <c r="P5" s="7">
        <v>46311.0</v>
      </c>
      <c r="Q5" s="8" t="s">
        <v>34</v>
      </c>
      <c r="R5" s="7">
        <v>46314.0</v>
      </c>
      <c r="S5" s="8" t="s">
        <v>34</v>
      </c>
      <c r="T5" s="7">
        <v>46315.0</v>
      </c>
      <c r="U5" s="8" t="s">
        <v>34</v>
      </c>
      <c r="V5" s="7">
        <v>46316.0</v>
      </c>
      <c r="W5" s="8" t="s">
        <v>34</v>
      </c>
      <c r="X5" s="7">
        <v>46317.0</v>
      </c>
      <c r="Y5" s="8" t="s">
        <v>34</v>
      </c>
      <c r="Z5" s="7">
        <v>46318.0</v>
      </c>
      <c r="AA5" s="8" t="s">
        <v>34</v>
      </c>
    </row>
    <row r="6" ht="31.5" customHeight="1">
      <c r="A6" s="21" t="s">
        <v>52</v>
      </c>
      <c r="B6" s="11" t="s">
        <v>53</v>
      </c>
      <c r="C6" s="12" t="s">
        <v>54</v>
      </c>
      <c r="D6" s="13" t="s">
        <v>55</v>
      </c>
      <c r="E6" s="14" t="s">
        <v>41</v>
      </c>
      <c r="F6" s="22" t="s">
        <v>56</v>
      </c>
      <c r="G6" s="16">
        <v>5.0</v>
      </c>
      <c r="H6" s="17">
        <v>5.0</v>
      </c>
      <c r="I6" s="19">
        <f t="shared" ref="I6:I22" si="1">G6-H6</f>
        <v>0</v>
      </c>
      <c r="J6" s="20">
        <v>0.0</v>
      </c>
      <c r="K6" s="19">
        <f t="shared" ref="K6:K22" si="2">I6-J6</f>
        <v>0</v>
      </c>
      <c r="L6" s="20">
        <v>0.0</v>
      </c>
      <c r="M6" s="19">
        <f t="shared" ref="M6:M22" si="3">K6-L6</f>
        <v>0</v>
      </c>
      <c r="N6" s="20">
        <v>0.0</v>
      </c>
      <c r="O6" s="19">
        <f t="shared" ref="O6:O22" si="4">M6-N6</f>
        <v>0</v>
      </c>
      <c r="P6" s="20">
        <v>0.0</v>
      </c>
      <c r="Q6" s="19">
        <f t="shared" ref="Q6:Q22" si="5">O6-P6</f>
        <v>0</v>
      </c>
      <c r="R6" s="20">
        <v>0.0</v>
      </c>
      <c r="S6" s="19">
        <f t="shared" ref="S6:S22" si="6">Q6-R6</f>
        <v>0</v>
      </c>
      <c r="T6" s="20">
        <v>0.0</v>
      </c>
      <c r="U6" s="19">
        <f t="shared" ref="U6:U22" si="7">S6-T6</f>
        <v>0</v>
      </c>
      <c r="V6" s="20">
        <v>0.0</v>
      </c>
      <c r="W6" s="19">
        <f t="shared" ref="W6:W22" si="8">U6-V6</f>
        <v>0</v>
      </c>
      <c r="X6" s="20">
        <v>0.0</v>
      </c>
      <c r="Y6" s="19">
        <f t="shared" ref="Y6:Y22" si="9">W6-X6</f>
        <v>0</v>
      </c>
      <c r="Z6" s="20">
        <v>0.0</v>
      </c>
      <c r="AA6" s="19">
        <f t="shared" ref="AA6:AA22" si="10">Y6-Z6</f>
        <v>0</v>
      </c>
      <c r="AB6" s="23">
        <f t="shared" ref="AB6:AB22" si="11">H6+J6+L6+N6+P6+R6+T6+V6+X6+Z6</f>
        <v>5</v>
      </c>
      <c r="AC6" s="23">
        <f t="shared" ref="AC6:AC22" si="12">AA6</f>
        <v>0</v>
      </c>
    </row>
    <row r="7" ht="31.5" customHeight="1">
      <c r="A7" s="21"/>
      <c r="B7" s="11"/>
      <c r="C7" s="12" t="s">
        <v>65</v>
      </c>
      <c r="D7" s="13" t="s">
        <v>67</v>
      </c>
      <c r="E7" s="14" t="s">
        <v>41</v>
      </c>
      <c r="F7" s="22" t="s">
        <v>56</v>
      </c>
      <c r="G7" s="16">
        <v>5.0</v>
      </c>
      <c r="H7" s="17">
        <v>3.0</v>
      </c>
      <c r="I7" s="19">
        <f t="shared" si="1"/>
        <v>2</v>
      </c>
      <c r="J7" s="17">
        <v>2.0</v>
      </c>
      <c r="K7" s="19">
        <f t="shared" si="2"/>
        <v>0</v>
      </c>
      <c r="L7" s="20">
        <v>0.0</v>
      </c>
      <c r="M7" s="19">
        <f t="shared" si="3"/>
        <v>0</v>
      </c>
      <c r="N7" s="20">
        <v>0.0</v>
      </c>
      <c r="O7" s="19">
        <f t="shared" si="4"/>
        <v>0</v>
      </c>
      <c r="P7" s="20">
        <v>0.0</v>
      </c>
      <c r="Q7" s="19">
        <f t="shared" si="5"/>
        <v>0</v>
      </c>
      <c r="R7" s="20">
        <v>0.0</v>
      </c>
      <c r="S7" s="19">
        <f t="shared" si="6"/>
        <v>0</v>
      </c>
      <c r="T7" s="20">
        <v>0.0</v>
      </c>
      <c r="U7" s="19">
        <f t="shared" si="7"/>
        <v>0</v>
      </c>
      <c r="V7" s="20">
        <v>0.0</v>
      </c>
      <c r="W7" s="19">
        <f t="shared" si="8"/>
        <v>0</v>
      </c>
      <c r="X7" s="20">
        <v>0.0</v>
      </c>
      <c r="Y7" s="19">
        <f t="shared" si="9"/>
        <v>0</v>
      </c>
      <c r="Z7" s="20">
        <v>0.0</v>
      </c>
      <c r="AA7" s="19">
        <f t="shared" si="10"/>
        <v>0</v>
      </c>
      <c r="AB7" s="23">
        <f t="shared" si="11"/>
        <v>5</v>
      </c>
      <c r="AC7" s="23">
        <f t="shared" si="12"/>
        <v>0</v>
      </c>
    </row>
    <row r="8" ht="31.5" customHeight="1">
      <c r="A8" s="21"/>
      <c r="B8" s="11"/>
      <c r="C8" s="12" t="s">
        <v>77</v>
      </c>
      <c r="D8" s="13" t="s">
        <v>79</v>
      </c>
      <c r="E8" s="14" t="s">
        <v>73</v>
      </c>
      <c r="F8" s="22" t="s">
        <v>56</v>
      </c>
      <c r="G8" s="16">
        <v>4.0</v>
      </c>
      <c r="H8" s="17">
        <v>4.0</v>
      </c>
      <c r="I8" s="19">
        <f t="shared" si="1"/>
        <v>0</v>
      </c>
      <c r="J8" s="20">
        <v>0.0</v>
      </c>
      <c r="K8" s="19">
        <f t="shared" si="2"/>
        <v>0</v>
      </c>
      <c r="L8" s="20">
        <v>0.0</v>
      </c>
      <c r="M8" s="19">
        <f t="shared" si="3"/>
        <v>0</v>
      </c>
      <c r="N8" s="20">
        <v>0.0</v>
      </c>
      <c r="O8" s="19">
        <f t="shared" si="4"/>
        <v>0</v>
      </c>
      <c r="P8" s="20">
        <v>0.0</v>
      </c>
      <c r="Q8" s="19">
        <f t="shared" si="5"/>
        <v>0</v>
      </c>
      <c r="R8" s="20">
        <v>0.0</v>
      </c>
      <c r="S8" s="19">
        <f t="shared" si="6"/>
        <v>0</v>
      </c>
      <c r="T8" s="20">
        <v>0.0</v>
      </c>
      <c r="U8" s="19">
        <f t="shared" si="7"/>
        <v>0</v>
      </c>
      <c r="V8" s="20">
        <v>0.0</v>
      </c>
      <c r="W8" s="19">
        <f t="shared" si="8"/>
        <v>0</v>
      </c>
      <c r="X8" s="20">
        <v>0.0</v>
      </c>
      <c r="Y8" s="19">
        <f t="shared" si="9"/>
        <v>0</v>
      </c>
      <c r="Z8" s="20">
        <v>0.0</v>
      </c>
      <c r="AA8" s="19">
        <f t="shared" si="10"/>
        <v>0</v>
      </c>
      <c r="AB8" s="23">
        <f t="shared" si="11"/>
        <v>4</v>
      </c>
      <c r="AC8" s="23">
        <f t="shared" si="12"/>
        <v>0</v>
      </c>
    </row>
    <row r="9" ht="31.5" customHeight="1">
      <c r="A9" s="21" t="s">
        <v>86</v>
      </c>
      <c r="B9" s="11" t="s">
        <v>87</v>
      </c>
      <c r="C9" s="12" t="s">
        <v>88</v>
      </c>
      <c r="D9" s="13" t="s">
        <v>89</v>
      </c>
      <c r="E9" s="14" t="s">
        <v>41</v>
      </c>
      <c r="F9" s="22" t="s">
        <v>56</v>
      </c>
      <c r="G9" s="16">
        <v>6.0</v>
      </c>
      <c r="H9" s="20">
        <v>0.0</v>
      </c>
      <c r="I9" s="19">
        <f t="shared" si="1"/>
        <v>6</v>
      </c>
      <c r="J9" s="17">
        <v>6.0</v>
      </c>
      <c r="K9" s="19">
        <f t="shared" si="2"/>
        <v>0</v>
      </c>
      <c r="L9" s="20">
        <v>0.0</v>
      </c>
      <c r="M9" s="19">
        <f t="shared" si="3"/>
        <v>0</v>
      </c>
      <c r="N9" s="20">
        <v>0.0</v>
      </c>
      <c r="O9" s="19">
        <f t="shared" si="4"/>
        <v>0</v>
      </c>
      <c r="P9" s="20">
        <v>0.0</v>
      </c>
      <c r="Q9" s="19">
        <f t="shared" si="5"/>
        <v>0</v>
      </c>
      <c r="R9" s="20">
        <v>0.0</v>
      </c>
      <c r="S9" s="19">
        <f t="shared" si="6"/>
        <v>0</v>
      </c>
      <c r="T9" s="20">
        <v>0.0</v>
      </c>
      <c r="U9" s="19">
        <f t="shared" si="7"/>
        <v>0</v>
      </c>
      <c r="V9" s="20">
        <v>0.0</v>
      </c>
      <c r="W9" s="19">
        <f t="shared" si="8"/>
        <v>0</v>
      </c>
      <c r="X9" s="20">
        <v>0.0</v>
      </c>
      <c r="Y9" s="19">
        <f t="shared" si="9"/>
        <v>0</v>
      </c>
      <c r="Z9" s="20">
        <v>0.0</v>
      </c>
      <c r="AA9" s="19">
        <f t="shared" si="10"/>
        <v>0</v>
      </c>
      <c r="AB9" s="23">
        <f t="shared" si="11"/>
        <v>6</v>
      </c>
      <c r="AC9" s="23">
        <f t="shared" si="12"/>
        <v>0</v>
      </c>
    </row>
    <row r="10" ht="31.5" customHeight="1">
      <c r="A10" s="21"/>
      <c r="B10" s="11"/>
      <c r="C10" s="12" t="s">
        <v>96</v>
      </c>
      <c r="D10" s="13" t="s">
        <v>98</v>
      </c>
      <c r="E10" s="14" t="s">
        <v>41</v>
      </c>
      <c r="F10" s="22" t="s">
        <v>56</v>
      </c>
      <c r="G10" s="16">
        <v>5.0</v>
      </c>
      <c r="H10" s="20">
        <v>0.0</v>
      </c>
      <c r="I10" s="19">
        <f t="shared" si="1"/>
        <v>5</v>
      </c>
      <c r="J10" s="20">
        <v>0.0</v>
      </c>
      <c r="K10" s="19">
        <f t="shared" si="2"/>
        <v>5</v>
      </c>
      <c r="L10" s="17">
        <v>5.0</v>
      </c>
      <c r="M10" s="19">
        <f t="shared" si="3"/>
        <v>0</v>
      </c>
      <c r="N10" s="20">
        <v>0.0</v>
      </c>
      <c r="O10" s="19">
        <f t="shared" si="4"/>
        <v>0</v>
      </c>
      <c r="P10" s="20">
        <v>0.0</v>
      </c>
      <c r="Q10" s="19">
        <f t="shared" si="5"/>
        <v>0</v>
      </c>
      <c r="R10" s="20">
        <v>0.0</v>
      </c>
      <c r="S10" s="19">
        <f t="shared" si="6"/>
        <v>0</v>
      </c>
      <c r="T10" s="20">
        <v>0.0</v>
      </c>
      <c r="U10" s="19">
        <f t="shared" si="7"/>
        <v>0</v>
      </c>
      <c r="V10" s="20">
        <v>0.0</v>
      </c>
      <c r="W10" s="19">
        <f t="shared" si="8"/>
        <v>0</v>
      </c>
      <c r="X10" s="20">
        <v>0.0</v>
      </c>
      <c r="Y10" s="19">
        <f t="shared" si="9"/>
        <v>0</v>
      </c>
      <c r="Z10" s="20">
        <v>0.0</v>
      </c>
      <c r="AA10" s="19">
        <f t="shared" si="10"/>
        <v>0</v>
      </c>
      <c r="AB10" s="23">
        <f t="shared" si="11"/>
        <v>5</v>
      </c>
      <c r="AC10" s="23">
        <f t="shared" si="12"/>
        <v>0</v>
      </c>
    </row>
    <row r="11" ht="31.5" customHeight="1">
      <c r="A11" s="21"/>
      <c r="B11" s="11"/>
      <c r="C11" s="12" t="s">
        <v>100</v>
      </c>
      <c r="D11" s="13" t="s">
        <v>79</v>
      </c>
      <c r="E11" s="14" t="s">
        <v>73</v>
      </c>
      <c r="F11" s="22" t="s">
        <v>56</v>
      </c>
      <c r="G11" s="16">
        <v>4.0</v>
      </c>
      <c r="H11" s="17">
        <v>4.0</v>
      </c>
      <c r="I11" s="19">
        <f t="shared" si="1"/>
        <v>0</v>
      </c>
      <c r="J11" s="20">
        <v>0.0</v>
      </c>
      <c r="K11" s="19">
        <f t="shared" si="2"/>
        <v>0</v>
      </c>
      <c r="L11" s="20">
        <v>0.0</v>
      </c>
      <c r="M11" s="19">
        <f t="shared" si="3"/>
        <v>0</v>
      </c>
      <c r="N11" s="20">
        <v>0.0</v>
      </c>
      <c r="O11" s="19">
        <f t="shared" si="4"/>
        <v>0</v>
      </c>
      <c r="P11" s="20">
        <v>0.0</v>
      </c>
      <c r="Q11" s="19">
        <f t="shared" si="5"/>
        <v>0</v>
      </c>
      <c r="R11" s="20">
        <v>0.0</v>
      </c>
      <c r="S11" s="19">
        <f t="shared" si="6"/>
        <v>0</v>
      </c>
      <c r="T11" s="20">
        <v>0.0</v>
      </c>
      <c r="U11" s="19">
        <f t="shared" si="7"/>
        <v>0</v>
      </c>
      <c r="V11" s="20">
        <v>0.0</v>
      </c>
      <c r="W11" s="19">
        <f t="shared" si="8"/>
        <v>0</v>
      </c>
      <c r="X11" s="20">
        <v>0.0</v>
      </c>
      <c r="Y11" s="19">
        <f t="shared" si="9"/>
        <v>0</v>
      </c>
      <c r="Z11" s="20">
        <v>0.0</v>
      </c>
      <c r="AA11" s="19">
        <f t="shared" si="10"/>
        <v>0</v>
      </c>
      <c r="AB11" s="23">
        <f t="shared" si="11"/>
        <v>4</v>
      </c>
      <c r="AC11" s="23">
        <f t="shared" si="12"/>
        <v>0</v>
      </c>
    </row>
    <row r="12" ht="31.5" customHeight="1">
      <c r="A12" s="21" t="s">
        <v>107</v>
      </c>
      <c r="B12" s="11" t="s">
        <v>108</v>
      </c>
      <c r="C12" s="12" t="s">
        <v>109</v>
      </c>
      <c r="D12" s="13" t="s">
        <v>110</v>
      </c>
      <c r="E12" s="14" t="s">
        <v>41</v>
      </c>
      <c r="F12" s="22" t="s">
        <v>56</v>
      </c>
      <c r="G12" s="16">
        <v>6.0</v>
      </c>
      <c r="H12" s="20">
        <v>0.0</v>
      </c>
      <c r="I12" s="19">
        <f t="shared" si="1"/>
        <v>6</v>
      </c>
      <c r="J12" s="20">
        <v>0.0</v>
      </c>
      <c r="K12" s="19">
        <f t="shared" si="2"/>
        <v>6</v>
      </c>
      <c r="L12" s="17">
        <v>3.0</v>
      </c>
      <c r="M12" s="19">
        <f t="shared" si="3"/>
        <v>3</v>
      </c>
      <c r="N12" s="17">
        <v>3.0</v>
      </c>
      <c r="O12" s="19">
        <f t="shared" si="4"/>
        <v>0</v>
      </c>
      <c r="P12" s="20">
        <v>0.0</v>
      </c>
      <c r="Q12" s="19">
        <f t="shared" si="5"/>
        <v>0</v>
      </c>
      <c r="R12" s="20">
        <v>0.0</v>
      </c>
      <c r="S12" s="19">
        <f t="shared" si="6"/>
        <v>0</v>
      </c>
      <c r="T12" s="20">
        <v>0.0</v>
      </c>
      <c r="U12" s="19">
        <f t="shared" si="7"/>
        <v>0</v>
      </c>
      <c r="V12" s="20">
        <v>0.0</v>
      </c>
      <c r="W12" s="19">
        <f t="shared" si="8"/>
        <v>0</v>
      </c>
      <c r="X12" s="20">
        <v>0.0</v>
      </c>
      <c r="Y12" s="19">
        <f t="shared" si="9"/>
        <v>0</v>
      </c>
      <c r="Z12" s="20">
        <v>0.0</v>
      </c>
      <c r="AA12" s="19">
        <f t="shared" si="10"/>
        <v>0</v>
      </c>
      <c r="AB12" s="23">
        <f t="shared" si="11"/>
        <v>6</v>
      </c>
      <c r="AC12" s="23">
        <f t="shared" si="12"/>
        <v>0</v>
      </c>
    </row>
    <row r="13" ht="31.5" customHeight="1">
      <c r="A13" s="21"/>
      <c r="B13" s="11"/>
      <c r="C13" s="12" t="s">
        <v>115</v>
      </c>
      <c r="D13" s="13" t="s">
        <v>116</v>
      </c>
      <c r="E13" s="14" t="s">
        <v>41</v>
      </c>
      <c r="F13" s="22" t="s">
        <v>56</v>
      </c>
      <c r="G13" s="16">
        <v>5.0</v>
      </c>
      <c r="H13" s="20">
        <v>0.0</v>
      </c>
      <c r="I13" s="19">
        <f t="shared" si="1"/>
        <v>5</v>
      </c>
      <c r="J13" s="20">
        <v>0.0</v>
      </c>
      <c r="K13" s="19">
        <f t="shared" si="2"/>
        <v>5</v>
      </c>
      <c r="L13" s="20">
        <v>0.0</v>
      </c>
      <c r="M13" s="19">
        <f t="shared" si="3"/>
        <v>5</v>
      </c>
      <c r="N13" s="17">
        <v>5.0</v>
      </c>
      <c r="O13" s="19">
        <f t="shared" si="4"/>
        <v>0</v>
      </c>
      <c r="P13" s="20">
        <v>0.0</v>
      </c>
      <c r="Q13" s="19">
        <f t="shared" si="5"/>
        <v>0</v>
      </c>
      <c r="R13" s="20">
        <v>0.0</v>
      </c>
      <c r="S13" s="19">
        <f t="shared" si="6"/>
        <v>0</v>
      </c>
      <c r="T13" s="20">
        <v>0.0</v>
      </c>
      <c r="U13" s="19">
        <f t="shared" si="7"/>
        <v>0</v>
      </c>
      <c r="V13" s="20">
        <v>0.0</v>
      </c>
      <c r="W13" s="19">
        <f t="shared" si="8"/>
        <v>0</v>
      </c>
      <c r="X13" s="20">
        <v>0.0</v>
      </c>
      <c r="Y13" s="19">
        <f t="shared" si="9"/>
        <v>0</v>
      </c>
      <c r="Z13" s="20">
        <v>0.0</v>
      </c>
      <c r="AA13" s="19">
        <f t="shared" si="10"/>
        <v>0</v>
      </c>
      <c r="AB13" s="23">
        <f t="shared" si="11"/>
        <v>5</v>
      </c>
      <c r="AC13" s="23">
        <f t="shared" si="12"/>
        <v>0</v>
      </c>
    </row>
    <row r="14" ht="31.5" customHeight="1">
      <c r="A14" s="21"/>
      <c r="B14" s="11"/>
      <c r="C14" s="12" t="s">
        <v>121</v>
      </c>
      <c r="D14" s="13" t="s">
        <v>79</v>
      </c>
      <c r="E14" s="14" t="s">
        <v>73</v>
      </c>
      <c r="F14" s="22" t="s">
        <v>56</v>
      </c>
      <c r="G14" s="16">
        <v>4.0</v>
      </c>
      <c r="H14" s="20">
        <v>0.0</v>
      </c>
      <c r="I14" s="19">
        <f t="shared" si="1"/>
        <v>4</v>
      </c>
      <c r="J14" s="17">
        <v>4.0</v>
      </c>
      <c r="K14" s="19">
        <f t="shared" si="2"/>
        <v>0</v>
      </c>
      <c r="L14" s="20">
        <v>0.0</v>
      </c>
      <c r="M14" s="19">
        <f t="shared" si="3"/>
        <v>0</v>
      </c>
      <c r="N14" s="20">
        <v>0.0</v>
      </c>
      <c r="O14" s="19">
        <f t="shared" si="4"/>
        <v>0</v>
      </c>
      <c r="P14" s="20">
        <v>0.0</v>
      </c>
      <c r="Q14" s="19">
        <f t="shared" si="5"/>
        <v>0</v>
      </c>
      <c r="R14" s="20">
        <v>0.0</v>
      </c>
      <c r="S14" s="19">
        <f t="shared" si="6"/>
        <v>0</v>
      </c>
      <c r="T14" s="20">
        <v>0.0</v>
      </c>
      <c r="U14" s="19">
        <f t="shared" si="7"/>
        <v>0</v>
      </c>
      <c r="V14" s="20">
        <v>0.0</v>
      </c>
      <c r="W14" s="19">
        <f t="shared" si="8"/>
        <v>0</v>
      </c>
      <c r="X14" s="20">
        <v>0.0</v>
      </c>
      <c r="Y14" s="19">
        <f t="shared" si="9"/>
        <v>0</v>
      </c>
      <c r="Z14" s="20">
        <v>0.0</v>
      </c>
      <c r="AA14" s="19">
        <f t="shared" si="10"/>
        <v>0</v>
      </c>
      <c r="AB14" s="23">
        <f t="shared" si="11"/>
        <v>4</v>
      </c>
      <c r="AC14" s="23">
        <f t="shared" si="12"/>
        <v>0</v>
      </c>
    </row>
    <row r="15" ht="31.5" customHeight="1">
      <c r="A15" s="26" t="s">
        <v>128</v>
      </c>
      <c r="B15" s="11" t="s">
        <v>129</v>
      </c>
      <c r="C15" s="12" t="s">
        <v>130</v>
      </c>
      <c r="D15" s="13" t="s">
        <v>131</v>
      </c>
      <c r="E15" s="14" t="s">
        <v>41</v>
      </c>
      <c r="F15" s="22" t="s">
        <v>56</v>
      </c>
      <c r="G15" s="16">
        <v>6.0</v>
      </c>
      <c r="H15" s="20">
        <v>0.0</v>
      </c>
      <c r="I15" s="19">
        <f t="shared" si="1"/>
        <v>6</v>
      </c>
      <c r="J15" s="20">
        <v>0.0</v>
      </c>
      <c r="K15" s="19">
        <f t="shared" si="2"/>
        <v>6</v>
      </c>
      <c r="L15" s="20">
        <v>0.0</v>
      </c>
      <c r="M15" s="19">
        <f t="shared" si="3"/>
        <v>6</v>
      </c>
      <c r="N15" s="20">
        <v>0.0</v>
      </c>
      <c r="O15" s="19">
        <f t="shared" si="4"/>
        <v>6</v>
      </c>
      <c r="P15" s="17">
        <v>6.0</v>
      </c>
      <c r="Q15" s="19">
        <f t="shared" si="5"/>
        <v>0</v>
      </c>
      <c r="R15" s="20">
        <v>0.0</v>
      </c>
      <c r="S15" s="19">
        <f t="shared" si="6"/>
        <v>0</v>
      </c>
      <c r="T15" s="20">
        <v>0.0</v>
      </c>
      <c r="U15" s="19">
        <f t="shared" si="7"/>
        <v>0</v>
      </c>
      <c r="V15" s="20">
        <v>0.0</v>
      </c>
      <c r="W15" s="19">
        <f t="shared" si="8"/>
        <v>0</v>
      </c>
      <c r="X15" s="20">
        <v>0.0</v>
      </c>
      <c r="Y15" s="19">
        <f t="shared" si="9"/>
        <v>0</v>
      </c>
      <c r="Z15" s="20">
        <v>0.0</v>
      </c>
      <c r="AA15" s="19">
        <f t="shared" si="10"/>
        <v>0</v>
      </c>
      <c r="AB15" s="23">
        <f t="shared" si="11"/>
        <v>6</v>
      </c>
      <c r="AC15" s="23">
        <f t="shared" si="12"/>
        <v>0</v>
      </c>
    </row>
    <row r="16" ht="31.5" customHeight="1">
      <c r="A16" s="26"/>
      <c r="B16" s="11"/>
      <c r="C16" s="12" t="s">
        <v>134</v>
      </c>
      <c r="D16" s="13" t="s">
        <v>136</v>
      </c>
      <c r="E16" s="14" t="s">
        <v>41</v>
      </c>
      <c r="F16" s="22" t="s">
        <v>56</v>
      </c>
      <c r="G16" s="16">
        <v>4.0</v>
      </c>
      <c r="H16" s="20">
        <v>0.0</v>
      </c>
      <c r="I16" s="19">
        <f t="shared" si="1"/>
        <v>4</v>
      </c>
      <c r="J16" s="20">
        <v>0.0</v>
      </c>
      <c r="K16" s="19">
        <f t="shared" si="2"/>
        <v>4</v>
      </c>
      <c r="L16" s="20">
        <v>0.0</v>
      </c>
      <c r="M16" s="19">
        <f t="shared" si="3"/>
        <v>4</v>
      </c>
      <c r="N16" s="20">
        <v>0.0</v>
      </c>
      <c r="O16" s="19">
        <f t="shared" si="4"/>
        <v>4</v>
      </c>
      <c r="P16" s="17">
        <v>2.0</v>
      </c>
      <c r="Q16" s="19">
        <f t="shared" si="5"/>
        <v>2</v>
      </c>
      <c r="R16" s="17">
        <v>2.0</v>
      </c>
      <c r="S16" s="19">
        <f t="shared" si="6"/>
        <v>0</v>
      </c>
      <c r="T16" s="20">
        <v>0.0</v>
      </c>
      <c r="U16" s="19">
        <f t="shared" si="7"/>
        <v>0</v>
      </c>
      <c r="V16" s="20">
        <v>0.0</v>
      </c>
      <c r="W16" s="19">
        <f t="shared" si="8"/>
        <v>0</v>
      </c>
      <c r="X16" s="20">
        <v>0.0</v>
      </c>
      <c r="Y16" s="19">
        <f t="shared" si="9"/>
        <v>0</v>
      </c>
      <c r="Z16" s="20">
        <v>0.0</v>
      </c>
      <c r="AA16" s="19">
        <f t="shared" si="10"/>
        <v>0</v>
      </c>
      <c r="AB16" s="23">
        <f t="shared" si="11"/>
        <v>4</v>
      </c>
      <c r="AC16" s="23">
        <f t="shared" si="12"/>
        <v>0</v>
      </c>
    </row>
    <row r="17" ht="31.5" customHeight="1">
      <c r="A17" s="26"/>
      <c r="B17" s="11"/>
      <c r="C17" s="12" t="s">
        <v>142</v>
      </c>
      <c r="D17" s="13" t="s">
        <v>143</v>
      </c>
      <c r="E17" s="14" t="s">
        <v>41</v>
      </c>
      <c r="F17" s="22" t="s">
        <v>56</v>
      </c>
      <c r="G17" s="16">
        <v>4.0</v>
      </c>
      <c r="H17" s="20">
        <v>0.0</v>
      </c>
      <c r="I17" s="19">
        <f t="shared" si="1"/>
        <v>4</v>
      </c>
      <c r="J17" s="20">
        <v>0.0</v>
      </c>
      <c r="K17" s="19">
        <f t="shared" si="2"/>
        <v>4</v>
      </c>
      <c r="L17" s="20">
        <v>0.0</v>
      </c>
      <c r="M17" s="19">
        <f t="shared" si="3"/>
        <v>4</v>
      </c>
      <c r="N17" s="20">
        <v>0.0</v>
      </c>
      <c r="O17" s="19">
        <f t="shared" si="4"/>
        <v>4</v>
      </c>
      <c r="P17" s="20">
        <v>0.0</v>
      </c>
      <c r="Q17" s="19">
        <f t="shared" si="5"/>
        <v>4</v>
      </c>
      <c r="R17" s="17">
        <v>4.0</v>
      </c>
      <c r="S17" s="19">
        <f t="shared" si="6"/>
        <v>0</v>
      </c>
      <c r="T17" s="20">
        <v>0.0</v>
      </c>
      <c r="U17" s="19">
        <f t="shared" si="7"/>
        <v>0</v>
      </c>
      <c r="V17" s="20">
        <v>0.0</v>
      </c>
      <c r="W17" s="19">
        <f t="shared" si="8"/>
        <v>0</v>
      </c>
      <c r="X17" s="20">
        <v>0.0</v>
      </c>
      <c r="Y17" s="19">
        <f t="shared" si="9"/>
        <v>0</v>
      </c>
      <c r="Z17" s="20">
        <v>0.0</v>
      </c>
      <c r="AA17" s="19">
        <f t="shared" si="10"/>
        <v>0</v>
      </c>
      <c r="AB17" s="23">
        <f t="shared" si="11"/>
        <v>4</v>
      </c>
      <c r="AC17" s="23">
        <f t="shared" si="12"/>
        <v>0</v>
      </c>
    </row>
    <row r="18" ht="31.5" customHeight="1">
      <c r="A18" s="26"/>
      <c r="B18" s="11"/>
      <c r="C18" s="12" t="s">
        <v>148</v>
      </c>
      <c r="D18" s="13" t="s">
        <v>149</v>
      </c>
      <c r="E18" s="14" t="s">
        <v>49</v>
      </c>
      <c r="F18" s="22" t="s">
        <v>56</v>
      </c>
      <c r="G18" s="16">
        <v>5.0</v>
      </c>
      <c r="H18" s="17">
        <v>5.0</v>
      </c>
      <c r="I18" s="19">
        <f t="shared" si="1"/>
        <v>0</v>
      </c>
      <c r="J18" s="20">
        <v>0.0</v>
      </c>
      <c r="K18" s="19">
        <f t="shared" si="2"/>
        <v>0</v>
      </c>
      <c r="L18" s="20">
        <v>0.0</v>
      </c>
      <c r="M18" s="19">
        <f t="shared" si="3"/>
        <v>0</v>
      </c>
      <c r="N18" s="20">
        <v>0.0</v>
      </c>
      <c r="O18" s="19">
        <f t="shared" si="4"/>
        <v>0</v>
      </c>
      <c r="P18" s="20">
        <v>0.0</v>
      </c>
      <c r="Q18" s="19">
        <f t="shared" si="5"/>
        <v>0</v>
      </c>
      <c r="R18" s="20">
        <v>0.0</v>
      </c>
      <c r="S18" s="19">
        <f t="shared" si="6"/>
        <v>0</v>
      </c>
      <c r="T18" s="20">
        <v>0.0</v>
      </c>
      <c r="U18" s="19">
        <f t="shared" si="7"/>
        <v>0</v>
      </c>
      <c r="V18" s="20">
        <v>0.0</v>
      </c>
      <c r="W18" s="19">
        <f t="shared" si="8"/>
        <v>0</v>
      </c>
      <c r="X18" s="20">
        <v>0.0</v>
      </c>
      <c r="Y18" s="19">
        <f t="shared" si="9"/>
        <v>0</v>
      </c>
      <c r="Z18" s="20">
        <v>0.0</v>
      </c>
      <c r="AA18" s="19">
        <f t="shared" si="10"/>
        <v>0</v>
      </c>
      <c r="AB18" s="23">
        <f t="shared" si="11"/>
        <v>5</v>
      </c>
      <c r="AC18" s="23">
        <f t="shared" si="12"/>
        <v>0</v>
      </c>
    </row>
    <row r="19" ht="31.5" customHeight="1">
      <c r="A19" s="26"/>
      <c r="B19" s="11"/>
      <c r="C19" s="12" t="s">
        <v>156</v>
      </c>
      <c r="D19" s="13" t="s">
        <v>157</v>
      </c>
      <c r="E19" s="14" t="s">
        <v>73</v>
      </c>
      <c r="F19" s="22" t="s">
        <v>56</v>
      </c>
      <c r="G19" s="16">
        <v>4.0</v>
      </c>
      <c r="H19" s="20">
        <v>0.0</v>
      </c>
      <c r="I19" s="19">
        <f t="shared" si="1"/>
        <v>4</v>
      </c>
      <c r="J19" s="17">
        <v>4.0</v>
      </c>
      <c r="K19" s="19">
        <f t="shared" si="2"/>
        <v>0</v>
      </c>
      <c r="L19" s="20">
        <v>0.0</v>
      </c>
      <c r="M19" s="19">
        <f t="shared" si="3"/>
        <v>0</v>
      </c>
      <c r="N19" s="20">
        <v>0.0</v>
      </c>
      <c r="O19" s="19">
        <f t="shared" si="4"/>
        <v>0</v>
      </c>
      <c r="P19" s="20">
        <v>0.0</v>
      </c>
      <c r="Q19" s="19">
        <f t="shared" si="5"/>
        <v>0</v>
      </c>
      <c r="R19" s="20">
        <v>0.0</v>
      </c>
      <c r="S19" s="19">
        <f t="shared" si="6"/>
        <v>0</v>
      </c>
      <c r="T19" s="20">
        <v>0.0</v>
      </c>
      <c r="U19" s="19">
        <f t="shared" si="7"/>
        <v>0</v>
      </c>
      <c r="V19" s="20">
        <v>0.0</v>
      </c>
      <c r="W19" s="19">
        <f t="shared" si="8"/>
        <v>0</v>
      </c>
      <c r="X19" s="20">
        <v>0.0</v>
      </c>
      <c r="Y19" s="19">
        <f t="shared" si="9"/>
        <v>0</v>
      </c>
      <c r="Z19" s="20">
        <v>0.0</v>
      </c>
      <c r="AA19" s="19">
        <f t="shared" si="10"/>
        <v>0</v>
      </c>
      <c r="AB19" s="23">
        <f t="shared" si="11"/>
        <v>4</v>
      </c>
      <c r="AC19" s="23">
        <f t="shared" si="12"/>
        <v>0</v>
      </c>
    </row>
    <row r="20" ht="31.5" customHeight="1">
      <c r="A20" s="26" t="s">
        <v>164</v>
      </c>
      <c r="B20" s="11" t="s">
        <v>165</v>
      </c>
      <c r="C20" s="12" t="s">
        <v>166</v>
      </c>
      <c r="D20" s="13" t="s">
        <v>167</v>
      </c>
      <c r="E20" s="14" t="s">
        <v>49</v>
      </c>
      <c r="F20" s="22" t="s">
        <v>56</v>
      </c>
      <c r="G20" s="16">
        <v>6.0</v>
      </c>
      <c r="H20" s="17">
        <v>3.0</v>
      </c>
      <c r="I20" s="19">
        <f t="shared" si="1"/>
        <v>3</v>
      </c>
      <c r="J20" s="17">
        <v>3.0</v>
      </c>
      <c r="K20" s="19">
        <f t="shared" si="2"/>
        <v>0</v>
      </c>
      <c r="L20" s="20">
        <v>0.0</v>
      </c>
      <c r="M20" s="19">
        <f t="shared" si="3"/>
        <v>0</v>
      </c>
      <c r="N20" s="20">
        <v>0.0</v>
      </c>
      <c r="O20" s="19">
        <f t="shared" si="4"/>
        <v>0</v>
      </c>
      <c r="P20" s="20">
        <v>0.0</v>
      </c>
      <c r="Q20" s="19">
        <f t="shared" si="5"/>
        <v>0</v>
      </c>
      <c r="R20" s="20">
        <v>0.0</v>
      </c>
      <c r="S20" s="19">
        <f t="shared" si="6"/>
        <v>0</v>
      </c>
      <c r="T20" s="20">
        <v>0.0</v>
      </c>
      <c r="U20" s="19">
        <f t="shared" si="7"/>
        <v>0</v>
      </c>
      <c r="V20" s="20">
        <v>0.0</v>
      </c>
      <c r="W20" s="19">
        <f t="shared" si="8"/>
        <v>0</v>
      </c>
      <c r="X20" s="20">
        <v>0.0</v>
      </c>
      <c r="Y20" s="19">
        <f t="shared" si="9"/>
        <v>0</v>
      </c>
      <c r="Z20" s="20">
        <v>0.0</v>
      </c>
      <c r="AA20" s="19">
        <f t="shared" si="10"/>
        <v>0</v>
      </c>
      <c r="AB20" s="23">
        <f t="shared" si="11"/>
        <v>6</v>
      </c>
      <c r="AC20" s="23">
        <f t="shared" si="12"/>
        <v>0</v>
      </c>
    </row>
    <row r="21" ht="31.5" customHeight="1">
      <c r="A21" s="26"/>
      <c r="B21" s="11"/>
      <c r="C21" s="12" t="s">
        <v>176</v>
      </c>
      <c r="D21" s="13" t="s">
        <v>177</v>
      </c>
      <c r="E21" s="14" t="s">
        <v>49</v>
      </c>
      <c r="F21" s="22" t="s">
        <v>56</v>
      </c>
      <c r="G21" s="16">
        <v>5.0</v>
      </c>
      <c r="H21" s="20">
        <v>0.0</v>
      </c>
      <c r="I21" s="19">
        <f t="shared" si="1"/>
        <v>5</v>
      </c>
      <c r="J21" s="17">
        <v>5.0</v>
      </c>
      <c r="K21" s="19">
        <f t="shared" si="2"/>
        <v>0</v>
      </c>
      <c r="L21" s="20">
        <v>0.0</v>
      </c>
      <c r="M21" s="19">
        <f t="shared" si="3"/>
        <v>0</v>
      </c>
      <c r="N21" s="20">
        <v>0.0</v>
      </c>
      <c r="O21" s="19">
        <f t="shared" si="4"/>
        <v>0</v>
      </c>
      <c r="P21" s="20">
        <v>0.0</v>
      </c>
      <c r="Q21" s="19">
        <f t="shared" si="5"/>
        <v>0</v>
      </c>
      <c r="R21" s="20">
        <v>0.0</v>
      </c>
      <c r="S21" s="19">
        <f t="shared" si="6"/>
        <v>0</v>
      </c>
      <c r="T21" s="20">
        <v>0.0</v>
      </c>
      <c r="U21" s="19">
        <f t="shared" si="7"/>
        <v>0</v>
      </c>
      <c r="V21" s="20">
        <v>0.0</v>
      </c>
      <c r="W21" s="19">
        <f t="shared" si="8"/>
        <v>0</v>
      </c>
      <c r="X21" s="20">
        <v>0.0</v>
      </c>
      <c r="Y21" s="19">
        <f t="shared" si="9"/>
        <v>0</v>
      </c>
      <c r="Z21" s="20">
        <v>0.0</v>
      </c>
      <c r="AA21" s="19">
        <f t="shared" si="10"/>
        <v>0</v>
      </c>
      <c r="AB21" s="23">
        <f t="shared" si="11"/>
        <v>5</v>
      </c>
      <c r="AC21" s="23">
        <f t="shared" si="12"/>
        <v>0</v>
      </c>
    </row>
    <row r="22" ht="31.5" customHeight="1">
      <c r="A22" s="26"/>
      <c r="B22" s="11"/>
      <c r="C22" s="12" t="s">
        <v>180</v>
      </c>
      <c r="D22" s="13" t="s">
        <v>181</v>
      </c>
      <c r="E22" s="14" t="s">
        <v>41</v>
      </c>
      <c r="F22" s="22" t="s">
        <v>56</v>
      </c>
      <c r="G22" s="16">
        <v>6.0</v>
      </c>
      <c r="H22" s="20">
        <v>0.0</v>
      </c>
      <c r="I22" s="19">
        <f t="shared" si="1"/>
        <v>6</v>
      </c>
      <c r="J22" s="20">
        <v>0.0</v>
      </c>
      <c r="K22" s="19">
        <f t="shared" si="2"/>
        <v>6</v>
      </c>
      <c r="L22" s="20">
        <v>0.0</v>
      </c>
      <c r="M22" s="19">
        <f t="shared" si="3"/>
        <v>6</v>
      </c>
      <c r="N22" s="20">
        <v>0.0</v>
      </c>
      <c r="O22" s="19">
        <f t="shared" si="4"/>
        <v>6</v>
      </c>
      <c r="P22" s="20">
        <v>0.0</v>
      </c>
      <c r="Q22" s="19">
        <f t="shared" si="5"/>
        <v>6</v>
      </c>
      <c r="R22" s="17">
        <v>2.0</v>
      </c>
      <c r="S22" s="19">
        <f t="shared" si="6"/>
        <v>4</v>
      </c>
      <c r="T22" s="17">
        <v>4.0</v>
      </c>
      <c r="U22" s="19">
        <f t="shared" si="7"/>
        <v>0</v>
      </c>
      <c r="V22" s="20">
        <v>0.0</v>
      </c>
      <c r="W22" s="19">
        <f t="shared" si="8"/>
        <v>0</v>
      </c>
      <c r="X22" s="20">
        <v>0.0</v>
      </c>
      <c r="Y22" s="19">
        <f t="shared" si="9"/>
        <v>0</v>
      </c>
      <c r="Z22" s="20">
        <v>0.0</v>
      </c>
      <c r="AA22" s="19">
        <f t="shared" si="10"/>
        <v>0</v>
      </c>
      <c r="AB22" s="23">
        <f t="shared" si="11"/>
        <v>6</v>
      </c>
      <c r="AC22" s="23">
        <f t="shared" si="12"/>
        <v>0</v>
      </c>
    </row>
    <row r="23" ht="15.75" customHeight="1">
      <c r="A23" s="27"/>
      <c r="B23" s="27"/>
      <c r="C23" s="27"/>
      <c r="D23" s="28" t="s">
        <v>190</v>
      </c>
      <c r="E23" s="27"/>
      <c r="F23" s="27"/>
      <c r="G23" s="29">
        <f t="shared" ref="G23:H23" si="13">SUM(G6:G22)</f>
        <v>84</v>
      </c>
      <c r="H23" s="30">
        <f t="shared" si="13"/>
        <v>24</v>
      </c>
      <c r="I23" s="27"/>
      <c r="J23" s="30">
        <f>SUM(J6:J22)</f>
        <v>24</v>
      </c>
      <c r="K23" s="27"/>
      <c r="L23" s="30">
        <f>SUM(L6:L22)</f>
        <v>8</v>
      </c>
      <c r="M23" s="27"/>
      <c r="N23" s="30">
        <f>SUM(N6:N22)</f>
        <v>8</v>
      </c>
      <c r="O23" s="27"/>
      <c r="P23" s="30">
        <f>SUM(P6:P22)</f>
        <v>8</v>
      </c>
      <c r="Q23" s="27"/>
      <c r="R23" s="30">
        <f>SUM(R6:R22)</f>
        <v>8</v>
      </c>
      <c r="S23" s="27"/>
      <c r="T23" s="30">
        <f>SUM(T6:T22)</f>
        <v>4</v>
      </c>
      <c r="U23" s="27"/>
      <c r="V23" s="30">
        <f>SUM(V6:V22)</f>
        <v>0</v>
      </c>
      <c r="W23" s="27"/>
      <c r="X23" s="30">
        <f>SUM(X6:X22)</f>
        <v>0</v>
      </c>
      <c r="Y23" s="27"/>
      <c r="Z23" s="30">
        <f>SUM(Z6:Z22)</f>
        <v>0</v>
      </c>
      <c r="AA23" s="27"/>
      <c r="AB23" s="30">
        <f t="shared" ref="AB23:AC23" si="14">SUM(AB6:AB22)</f>
        <v>84</v>
      </c>
      <c r="AC23" s="30">
        <f t="shared" si="14"/>
        <v>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R4:S4"/>
    <mergeCell ref="T4:U4"/>
    <mergeCell ref="V4:W4"/>
    <mergeCell ref="X4:Y4"/>
    <mergeCell ref="Z4:AA4"/>
    <mergeCell ref="A1:H1"/>
    <mergeCell ref="A2:H2"/>
    <mergeCell ref="H4:I4"/>
    <mergeCell ref="J4:K4"/>
    <mergeCell ref="L4:M4"/>
    <mergeCell ref="N4:O4"/>
    <mergeCell ref="P4:Q4"/>
  </mergeCells>
  <printOptions/>
  <pageMargins bottom="1.0" footer="0.0" header="0.0" left="0.35" right="0.35" top="1.0"/>
  <pageSetup paperSize="3" orientation="landscape"/>
  <headerFooter>
    <oddFooter>&amp;LSprint backlog 4 — Haircut Home Studio&amp;RTareas y horas del PDF</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4.43" defaultRowHeight="15.0"/>
  <cols>
    <col customWidth="1" min="1" max="1" width="14.0"/>
    <col customWidth="1" min="2" max="2" width="36.0"/>
    <col customWidth="1" min="3" max="3" width="16.0"/>
    <col customWidth="1" min="4" max="4" width="42.0"/>
    <col customWidth="1" min="5" max="5" width="18.0"/>
    <col customWidth="1" min="6" max="6" width="14.0"/>
    <col customWidth="1" min="7" max="7" width="10.0"/>
    <col customWidth="1" min="8" max="27" width="6.0"/>
    <col customWidth="1" min="28" max="28" width="11.0"/>
    <col customWidth="1" min="29" max="29" width="12.0"/>
  </cols>
  <sheetData>
    <row r="1" ht="24.0" customHeight="1">
      <c r="A1" s="1" t="s">
        <v>225</v>
      </c>
    </row>
    <row r="2">
      <c r="A2" s="3" t="s">
        <v>226</v>
      </c>
    </row>
    <row r="4" ht="21.75" customHeight="1">
      <c r="A4" s="4" t="s">
        <v>11</v>
      </c>
      <c r="B4" s="4" t="s">
        <v>16</v>
      </c>
      <c r="C4" s="4" t="s">
        <v>17</v>
      </c>
      <c r="D4" s="4" t="s">
        <v>18</v>
      </c>
      <c r="E4" s="4" t="s">
        <v>19</v>
      </c>
      <c r="F4" s="4" t="s">
        <v>20</v>
      </c>
      <c r="G4" s="4" t="s">
        <v>21</v>
      </c>
      <c r="H4" s="5" t="s">
        <v>22</v>
      </c>
      <c r="I4" s="6"/>
      <c r="J4" s="5" t="s">
        <v>23</v>
      </c>
      <c r="K4" s="6"/>
      <c r="L4" s="5" t="s">
        <v>24</v>
      </c>
      <c r="M4" s="6"/>
      <c r="N4" s="5" t="s">
        <v>25</v>
      </c>
      <c r="O4" s="6"/>
      <c r="P4" s="5" t="s">
        <v>26</v>
      </c>
      <c r="Q4" s="6"/>
      <c r="R4" s="5" t="s">
        <v>27</v>
      </c>
      <c r="S4" s="6"/>
      <c r="T4" s="5" t="s">
        <v>28</v>
      </c>
      <c r="U4" s="6"/>
      <c r="V4" s="5" t="s">
        <v>29</v>
      </c>
      <c r="W4" s="6"/>
      <c r="X4" s="5" t="s">
        <v>30</v>
      </c>
      <c r="Y4" s="6"/>
      <c r="Z4" s="5" t="s">
        <v>31</v>
      </c>
      <c r="AA4" s="6"/>
      <c r="AB4" s="4" t="s">
        <v>32</v>
      </c>
      <c r="AC4" s="4" t="s">
        <v>33</v>
      </c>
    </row>
    <row r="5">
      <c r="H5" s="7">
        <v>46321.0</v>
      </c>
      <c r="I5" s="8" t="s">
        <v>34</v>
      </c>
      <c r="J5" s="7">
        <v>46322.0</v>
      </c>
      <c r="K5" s="8" t="s">
        <v>34</v>
      </c>
      <c r="L5" s="7">
        <v>46323.0</v>
      </c>
      <c r="M5" s="8" t="s">
        <v>34</v>
      </c>
      <c r="N5" s="7">
        <v>46324.0</v>
      </c>
      <c r="O5" s="8" t="s">
        <v>34</v>
      </c>
      <c r="P5" s="7">
        <v>46325.0</v>
      </c>
      <c r="Q5" s="8" t="s">
        <v>34</v>
      </c>
      <c r="R5" s="7">
        <v>46328.0</v>
      </c>
      <c r="S5" s="8" t="s">
        <v>34</v>
      </c>
      <c r="T5" s="7">
        <v>46329.0</v>
      </c>
      <c r="U5" s="8" t="s">
        <v>34</v>
      </c>
      <c r="V5" s="7">
        <v>46330.0</v>
      </c>
      <c r="W5" s="8" t="s">
        <v>34</v>
      </c>
      <c r="X5" s="7">
        <v>46331.0</v>
      </c>
      <c r="Y5" s="8" t="s">
        <v>34</v>
      </c>
      <c r="Z5" s="7">
        <v>46332.0</v>
      </c>
      <c r="AA5" s="8" t="s">
        <v>34</v>
      </c>
    </row>
    <row r="6" ht="31.5" customHeight="1">
      <c r="A6" s="26" t="s">
        <v>227</v>
      </c>
      <c r="B6" s="11" t="s">
        <v>228</v>
      </c>
      <c r="C6" s="12" t="s">
        <v>229</v>
      </c>
      <c r="D6" s="13" t="s">
        <v>230</v>
      </c>
      <c r="E6" s="14" t="s">
        <v>49</v>
      </c>
      <c r="F6" s="22" t="s">
        <v>56</v>
      </c>
      <c r="G6" s="16">
        <v>4.0</v>
      </c>
      <c r="H6" s="17">
        <v>4.0</v>
      </c>
      <c r="I6" s="19">
        <f t="shared" ref="I6:I22" si="1">G6-H6</f>
        <v>0</v>
      </c>
      <c r="J6" s="20">
        <v>0.0</v>
      </c>
      <c r="K6" s="19">
        <f t="shared" ref="K6:K22" si="2">I6-J6</f>
        <v>0</v>
      </c>
      <c r="L6" s="20">
        <v>0.0</v>
      </c>
      <c r="M6" s="19">
        <f t="shared" ref="M6:M22" si="3">K6-L6</f>
        <v>0</v>
      </c>
      <c r="N6" s="20">
        <v>0.0</v>
      </c>
      <c r="O6" s="19">
        <f t="shared" ref="O6:O22" si="4">M6-N6</f>
        <v>0</v>
      </c>
      <c r="P6" s="20">
        <v>0.0</v>
      </c>
      <c r="Q6" s="19">
        <f t="shared" ref="Q6:Q22" si="5">O6-P6</f>
        <v>0</v>
      </c>
      <c r="R6" s="20">
        <v>0.0</v>
      </c>
      <c r="S6" s="19">
        <f t="shared" ref="S6:S22" si="6">Q6-R6</f>
        <v>0</v>
      </c>
      <c r="T6" s="20">
        <v>0.0</v>
      </c>
      <c r="U6" s="19">
        <f t="shared" ref="U6:U22" si="7">S6-T6</f>
        <v>0</v>
      </c>
      <c r="V6" s="20">
        <v>0.0</v>
      </c>
      <c r="W6" s="19">
        <f t="shared" ref="W6:W22" si="8">U6-V6</f>
        <v>0</v>
      </c>
      <c r="X6" s="20">
        <v>0.0</v>
      </c>
      <c r="Y6" s="19">
        <f t="shared" ref="Y6:Y22" si="9">W6-X6</f>
        <v>0</v>
      </c>
      <c r="Z6" s="20">
        <v>0.0</v>
      </c>
      <c r="AA6" s="19">
        <f t="shared" ref="AA6:AA22" si="10">Y6-Z6</f>
        <v>0</v>
      </c>
      <c r="AB6" s="23">
        <f t="shared" ref="AB6:AB22" si="11">H6+J6+L6+N6+P6+R6+T6+V6+X6+Z6</f>
        <v>4</v>
      </c>
      <c r="AC6" s="23">
        <f t="shared" ref="AC6:AC22" si="12">AA6</f>
        <v>0</v>
      </c>
    </row>
    <row r="7" ht="31.5" customHeight="1">
      <c r="A7" s="26"/>
      <c r="B7" s="11"/>
      <c r="C7" s="12" t="s">
        <v>231</v>
      </c>
      <c r="D7" s="13" t="s">
        <v>232</v>
      </c>
      <c r="E7" s="14" t="s">
        <v>41</v>
      </c>
      <c r="F7" s="22" t="s">
        <v>56</v>
      </c>
      <c r="G7" s="16">
        <v>8.0</v>
      </c>
      <c r="H7" s="17">
        <v>8.0</v>
      </c>
      <c r="I7" s="19">
        <f t="shared" si="1"/>
        <v>0</v>
      </c>
      <c r="J7" s="20">
        <v>0.0</v>
      </c>
      <c r="K7" s="19">
        <f t="shared" si="2"/>
        <v>0</v>
      </c>
      <c r="L7" s="20">
        <v>0.0</v>
      </c>
      <c r="M7" s="19">
        <f t="shared" si="3"/>
        <v>0</v>
      </c>
      <c r="N7" s="20">
        <v>0.0</v>
      </c>
      <c r="O7" s="19">
        <f t="shared" si="4"/>
        <v>0</v>
      </c>
      <c r="P7" s="20">
        <v>0.0</v>
      </c>
      <c r="Q7" s="19">
        <f t="shared" si="5"/>
        <v>0</v>
      </c>
      <c r="R7" s="20">
        <v>0.0</v>
      </c>
      <c r="S7" s="19">
        <f t="shared" si="6"/>
        <v>0</v>
      </c>
      <c r="T7" s="20">
        <v>0.0</v>
      </c>
      <c r="U7" s="19">
        <f t="shared" si="7"/>
        <v>0</v>
      </c>
      <c r="V7" s="20">
        <v>0.0</v>
      </c>
      <c r="W7" s="19">
        <f t="shared" si="8"/>
        <v>0</v>
      </c>
      <c r="X7" s="20">
        <v>0.0</v>
      </c>
      <c r="Y7" s="19">
        <f t="shared" si="9"/>
        <v>0</v>
      </c>
      <c r="Z7" s="20">
        <v>0.0</v>
      </c>
      <c r="AA7" s="19">
        <f t="shared" si="10"/>
        <v>0</v>
      </c>
      <c r="AB7" s="23">
        <f t="shared" si="11"/>
        <v>8</v>
      </c>
      <c r="AC7" s="23">
        <f t="shared" si="12"/>
        <v>0</v>
      </c>
    </row>
    <row r="8" ht="31.5" customHeight="1">
      <c r="A8" s="26"/>
      <c r="B8" s="11"/>
      <c r="C8" s="12" t="s">
        <v>233</v>
      </c>
      <c r="D8" s="13" t="s">
        <v>234</v>
      </c>
      <c r="E8" s="14" t="s">
        <v>41</v>
      </c>
      <c r="F8" s="22" t="s">
        <v>56</v>
      </c>
      <c r="G8" s="16">
        <v>10.0</v>
      </c>
      <c r="H8" s="20">
        <v>0.0</v>
      </c>
      <c r="I8" s="19">
        <f t="shared" si="1"/>
        <v>10</v>
      </c>
      <c r="J8" s="17">
        <v>8.0</v>
      </c>
      <c r="K8" s="19">
        <f t="shared" si="2"/>
        <v>2</v>
      </c>
      <c r="L8" s="17">
        <v>2.0</v>
      </c>
      <c r="M8" s="19">
        <f t="shared" si="3"/>
        <v>0</v>
      </c>
      <c r="N8" s="20">
        <v>0.0</v>
      </c>
      <c r="O8" s="19">
        <f t="shared" si="4"/>
        <v>0</v>
      </c>
      <c r="P8" s="20">
        <v>0.0</v>
      </c>
      <c r="Q8" s="19">
        <f t="shared" si="5"/>
        <v>0</v>
      </c>
      <c r="R8" s="20">
        <v>0.0</v>
      </c>
      <c r="S8" s="19">
        <f t="shared" si="6"/>
        <v>0</v>
      </c>
      <c r="T8" s="20">
        <v>0.0</v>
      </c>
      <c r="U8" s="19">
        <f t="shared" si="7"/>
        <v>0</v>
      </c>
      <c r="V8" s="20">
        <v>0.0</v>
      </c>
      <c r="W8" s="19">
        <f t="shared" si="8"/>
        <v>0</v>
      </c>
      <c r="X8" s="20">
        <v>0.0</v>
      </c>
      <c r="Y8" s="19">
        <f t="shared" si="9"/>
        <v>0</v>
      </c>
      <c r="Z8" s="20">
        <v>0.0</v>
      </c>
      <c r="AA8" s="19">
        <f t="shared" si="10"/>
        <v>0</v>
      </c>
      <c r="AB8" s="23">
        <f t="shared" si="11"/>
        <v>10</v>
      </c>
      <c r="AC8" s="23">
        <f t="shared" si="12"/>
        <v>0</v>
      </c>
    </row>
    <row r="9" ht="31.5" customHeight="1">
      <c r="A9" s="26"/>
      <c r="B9" s="11"/>
      <c r="C9" s="12" t="s">
        <v>235</v>
      </c>
      <c r="D9" s="13" t="s">
        <v>236</v>
      </c>
      <c r="E9" s="14" t="s">
        <v>41</v>
      </c>
      <c r="F9" s="22" t="s">
        <v>56</v>
      </c>
      <c r="G9" s="16">
        <v>10.0</v>
      </c>
      <c r="H9" s="20">
        <v>0.0</v>
      </c>
      <c r="I9" s="19">
        <f t="shared" si="1"/>
        <v>10</v>
      </c>
      <c r="J9" s="20">
        <v>0.0</v>
      </c>
      <c r="K9" s="19">
        <f t="shared" si="2"/>
        <v>10</v>
      </c>
      <c r="L9" s="17">
        <v>6.0</v>
      </c>
      <c r="M9" s="19">
        <f t="shared" si="3"/>
        <v>4</v>
      </c>
      <c r="N9" s="17">
        <v>4.0</v>
      </c>
      <c r="O9" s="19">
        <f t="shared" si="4"/>
        <v>0</v>
      </c>
      <c r="P9" s="20">
        <v>0.0</v>
      </c>
      <c r="Q9" s="19">
        <f t="shared" si="5"/>
        <v>0</v>
      </c>
      <c r="R9" s="20">
        <v>0.0</v>
      </c>
      <c r="S9" s="19">
        <f t="shared" si="6"/>
        <v>0</v>
      </c>
      <c r="T9" s="20">
        <v>0.0</v>
      </c>
      <c r="U9" s="19">
        <f t="shared" si="7"/>
        <v>0</v>
      </c>
      <c r="V9" s="20">
        <v>0.0</v>
      </c>
      <c r="W9" s="19">
        <f t="shared" si="8"/>
        <v>0</v>
      </c>
      <c r="X9" s="20">
        <v>0.0</v>
      </c>
      <c r="Y9" s="19">
        <f t="shared" si="9"/>
        <v>0</v>
      </c>
      <c r="Z9" s="20">
        <v>0.0</v>
      </c>
      <c r="AA9" s="19">
        <f t="shared" si="10"/>
        <v>0</v>
      </c>
      <c r="AB9" s="23">
        <f t="shared" si="11"/>
        <v>10</v>
      </c>
      <c r="AC9" s="23">
        <f t="shared" si="12"/>
        <v>0</v>
      </c>
    </row>
    <row r="10" ht="31.5" customHeight="1">
      <c r="A10" s="26"/>
      <c r="B10" s="11"/>
      <c r="C10" s="12" t="s">
        <v>237</v>
      </c>
      <c r="D10" s="13" t="s">
        <v>238</v>
      </c>
      <c r="E10" s="14" t="s">
        <v>41</v>
      </c>
      <c r="F10" s="22" t="s">
        <v>56</v>
      </c>
      <c r="G10" s="16">
        <v>7.0</v>
      </c>
      <c r="H10" s="20">
        <v>0.0</v>
      </c>
      <c r="I10" s="19">
        <f t="shared" si="1"/>
        <v>7</v>
      </c>
      <c r="J10" s="20">
        <v>0.0</v>
      </c>
      <c r="K10" s="19">
        <f t="shared" si="2"/>
        <v>7</v>
      </c>
      <c r="L10" s="20">
        <v>0.0</v>
      </c>
      <c r="M10" s="19">
        <f t="shared" si="3"/>
        <v>7</v>
      </c>
      <c r="N10" s="17">
        <v>4.0</v>
      </c>
      <c r="O10" s="19">
        <f t="shared" si="4"/>
        <v>3</v>
      </c>
      <c r="P10" s="17">
        <v>3.0</v>
      </c>
      <c r="Q10" s="19">
        <f t="shared" si="5"/>
        <v>0</v>
      </c>
      <c r="R10" s="20">
        <v>0.0</v>
      </c>
      <c r="S10" s="19">
        <f t="shared" si="6"/>
        <v>0</v>
      </c>
      <c r="T10" s="20">
        <v>0.0</v>
      </c>
      <c r="U10" s="19">
        <f t="shared" si="7"/>
        <v>0</v>
      </c>
      <c r="V10" s="20">
        <v>0.0</v>
      </c>
      <c r="W10" s="19">
        <f t="shared" si="8"/>
        <v>0</v>
      </c>
      <c r="X10" s="20">
        <v>0.0</v>
      </c>
      <c r="Y10" s="19">
        <f t="shared" si="9"/>
        <v>0</v>
      </c>
      <c r="Z10" s="20">
        <v>0.0</v>
      </c>
      <c r="AA10" s="19">
        <f t="shared" si="10"/>
        <v>0</v>
      </c>
      <c r="AB10" s="23">
        <f t="shared" si="11"/>
        <v>7</v>
      </c>
      <c r="AC10" s="23">
        <f t="shared" si="12"/>
        <v>0</v>
      </c>
    </row>
    <row r="11" ht="31.5" customHeight="1">
      <c r="A11" s="26"/>
      <c r="B11" s="11"/>
      <c r="C11" s="12" t="s">
        <v>239</v>
      </c>
      <c r="D11" s="13" t="s">
        <v>240</v>
      </c>
      <c r="E11" s="14" t="s">
        <v>41</v>
      </c>
      <c r="F11" s="22" t="s">
        <v>56</v>
      </c>
      <c r="G11" s="16">
        <v>8.0</v>
      </c>
      <c r="H11" s="20">
        <v>0.0</v>
      </c>
      <c r="I11" s="19">
        <f t="shared" si="1"/>
        <v>8</v>
      </c>
      <c r="J11" s="20">
        <v>0.0</v>
      </c>
      <c r="K11" s="19">
        <f t="shared" si="2"/>
        <v>8</v>
      </c>
      <c r="L11" s="20">
        <v>0.0</v>
      </c>
      <c r="M11" s="19">
        <f t="shared" si="3"/>
        <v>8</v>
      </c>
      <c r="N11" s="20">
        <v>0.0</v>
      </c>
      <c r="O11" s="19">
        <f t="shared" si="4"/>
        <v>8</v>
      </c>
      <c r="P11" s="17">
        <v>5.0</v>
      </c>
      <c r="Q11" s="19">
        <f t="shared" si="5"/>
        <v>3</v>
      </c>
      <c r="R11" s="17">
        <v>3.0</v>
      </c>
      <c r="S11" s="19">
        <f t="shared" si="6"/>
        <v>0</v>
      </c>
      <c r="T11" s="20">
        <v>0.0</v>
      </c>
      <c r="U11" s="19">
        <f t="shared" si="7"/>
        <v>0</v>
      </c>
      <c r="V11" s="20">
        <v>0.0</v>
      </c>
      <c r="W11" s="19">
        <f t="shared" si="8"/>
        <v>0</v>
      </c>
      <c r="X11" s="20">
        <v>0.0</v>
      </c>
      <c r="Y11" s="19">
        <f t="shared" si="9"/>
        <v>0</v>
      </c>
      <c r="Z11" s="20">
        <v>0.0</v>
      </c>
      <c r="AA11" s="19">
        <f t="shared" si="10"/>
        <v>0</v>
      </c>
      <c r="AB11" s="23">
        <f t="shared" si="11"/>
        <v>8</v>
      </c>
      <c r="AC11" s="23">
        <f t="shared" si="12"/>
        <v>0</v>
      </c>
    </row>
    <row r="12" ht="31.5" customHeight="1">
      <c r="A12" s="26"/>
      <c r="B12" s="11"/>
      <c r="C12" s="12" t="s">
        <v>241</v>
      </c>
      <c r="D12" s="13" t="s">
        <v>242</v>
      </c>
      <c r="E12" s="14" t="s">
        <v>49</v>
      </c>
      <c r="F12" s="22" t="s">
        <v>56</v>
      </c>
      <c r="G12" s="16">
        <v>6.0</v>
      </c>
      <c r="H12" s="17">
        <v>4.0</v>
      </c>
      <c r="I12" s="19">
        <f t="shared" si="1"/>
        <v>2</v>
      </c>
      <c r="J12" s="17">
        <v>2.0</v>
      </c>
      <c r="K12" s="19">
        <f t="shared" si="2"/>
        <v>0</v>
      </c>
      <c r="L12" s="20">
        <v>0.0</v>
      </c>
      <c r="M12" s="19">
        <f t="shared" si="3"/>
        <v>0</v>
      </c>
      <c r="N12" s="20">
        <v>0.0</v>
      </c>
      <c r="O12" s="19">
        <f t="shared" si="4"/>
        <v>0</v>
      </c>
      <c r="P12" s="20">
        <v>0.0</v>
      </c>
      <c r="Q12" s="19">
        <f t="shared" si="5"/>
        <v>0</v>
      </c>
      <c r="R12" s="20">
        <v>0.0</v>
      </c>
      <c r="S12" s="19">
        <f t="shared" si="6"/>
        <v>0</v>
      </c>
      <c r="T12" s="20">
        <v>0.0</v>
      </c>
      <c r="U12" s="19">
        <f t="shared" si="7"/>
        <v>0</v>
      </c>
      <c r="V12" s="20">
        <v>0.0</v>
      </c>
      <c r="W12" s="19">
        <f t="shared" si="8"/>
        <v>0</v>
      </c>
      <c r="X12" s="20">
        <v>0.0</v>
      </c>
      <c r="Y12" s="19">
        <f t="shared" si="9"/>
        <v>0</v>
      </c>
      <c r="Z12" s="20">
        <v>0.0</v>
      </c>
      <c r="AA12" s="19">
        <f t="shared" si="10"/>
        <v>0</v>
      </c>
      <c r="AB12" s="23">
        <f t="shared" si="11"/>
        <v>6</v>
      </c>
      <c r="AC12" s="23">
        <f t="shared" si="12"/>
        <v>0</v>
      </c>
    </row>
    <row r="13" ht="31.5" customHeight="1">
      <c r="A13" s="26"/>
      <c r="B13" s="11"/>
      <c r="C13" s="12" t="s">
        <v>243</v>
      </c>
      <c r="D13" s="13" t="s">
        <v>244</v>
      </c>
      <c r="E13" s="14" t="s">
        <v>73</v>
      </c>
      <c r="F13" s="22" t="s">
        <v>56</v>
      </c>
      <c r="G13" s="16">
        <v>5.0</v>
      </c>
      <c r="H13" s="17">
        <v>5.0</v>
      </c>
      <c r="I13" s="19">
        <f t="shared" si="1"/>
        <v>0</v>
      </c>
      <c r="J13" s="20">
        <v>0.0</v>
      </c>
      <c r="K13" s="19">
        <f t="shared" si="2"/>
        <v>0</v>
      </c>
      <c r="L13" s="20">
        <v>0.0</v>
      </c>
      <c r="M13" s="19">
        <f t="shared" si="3"/>
        <v>0</v>
      </c>
      <c r="N13" s="20">
        <v>0.0</v>
      </c>
      <c r="O13" s="19">
        <f t="shared" si="4"/>
        <v>0</v>
      </c>
      <c r="P13" s="20">
        <v>0.0</v>
      </c>
      <c r="Q13" s="19">
        <f t="shared" si="5"/>
        <v>0</v>
      </c>
      <c r="R13" s="20">
        <v>0.0</v>
      </c>
      <c r="S13" s="19">
        <f t="shared" si="6"/>
        <v>0</v>
      </c>
      <c r="T13" s="20">
        <v>0.0</v>
      </c>
      <c r="U13" s="19">
        <f t="shared" si="7"/>
        <v>0</v>
      </c>
      <c r="V13" s="20">
        <v>0.0</v>
      </c>
      <c r="W13" s="19">
        <f t="shared" si="8"/>
        <v>0</v>
      </c>
      <c r="X13" s="20">
        <v>0.0</v>
      </c>
      <c r="Y13" s="19">
        <f t="shared" si="9"/>
        <v>0</v>
      </c>
      <c r="Z13" s="20">
        <v>0.0</v>
      </c>
      <c r="AA13" s="19">
        <f t="shared" si="10"/>
        <v>0</v>
      </c>
      <c r="AB13" s="23">
        <f t="shared" si="11"/>
        <v>5</v>
      </c>
      <c r="AC13" s="23">
        <f t="shared" si="12"/>
        <v>0</v>
      </c>
    </row>
    <row r="14" ht="31.5" customHeight="1">
      <c r="A14" s="26"/>
      <c r="B14" s="11"/>
      <c r="C14" s="12" t="s">
        <v>245</v>
      </c>
      <c r="D14" s="13" t="s">
        <v>246</v>
      </c>
      <c r="E14" s="14" t="s">
        <v>41</v>
      </c>
      <c r="F14" s="22" t="s">
        <v>56</v>
      </c>
      <c r="G14" s="16">
        <v>5.0</v>
      </c>
      <c r="H14" s="20">
        <v>0.0</v>
      </c>
      <c r="I14" s="19">
        <f t="shared" si="1"/>
        <v>5</v>
      </c>
      <c r="J14" s="20">
        <v>0.0</v>
      </c>
      <c r="K14" s="19">
        <f t="shared" si="2"/>
        <v>5</v>
      </c>
      <c r="L14" s="20">
        <v>0.0</v>
      </c>
      <c r="M14" s="19">
        <f t="shared" si="3"/>
        <v>5</v>
      </c>
      <c r="N14" s="20">
        <v>0.0</v>
      </c>
      <c r="O14" s="19">
        <f t="shared" si="4"/>
        <v>5</v>
      </c>
      <c r="P14" s="20">
        <v>0.0</v>
      </c>
      <c r="Q14" s="19">
        <f t="shared" si="5"/>
        <v>5</v>
      </c>
      <c r="R14" s="17">
        <v>5.0</v>
      </c>
      <c r="S14" s="19">
        <f t="shared" si="6"/>
        <v>0</v>
      </c>
      <c r="T14" s="20">
        <v>0.0</v>
      </c>
      <c r="U14" s="19">
        <f t="shared" si="7"/>
        <v>0</v>
      </c>
      <c r="V14" s="20">
        <v>0.0</v>
      </c>
      <c r="W14" s="19">
        <f t="shared" si="8"/>
        <v>0</v>
      </c>
      <c r="X14" s="20">
        <v>0.0</v>
      </c>
      <c r="Y14" s="19">
        <f t="shared" si="9"/>
        <v>0</v>
      </c>
      <c r="Z14" s="20">
        <v>0.0</v>
      </c>
      <c r="AA14" s="19">
        <f t="shared" si="10"/>
        <v>0</v>
      </c>
      <c r="AB14" s="23">
        <f t="shared" si="11"/>
        <v>5</v>
      </c>
      <c r="AC14" s="23">
        <f t="shared" si="12"/>
        <v>0</v>
      </c>
    </row>
    <row r="15" ht="31.5" customHeight="1">
      <c r="A15" s="31" t="s">
        <v>247</v>
      </c>
      <c r="B15" s="11" t="s">
        <v>248</v>
      </c>
      <c r="C15" s="12" t="s">
        <v>249</v>
      </c>
      <c r="D15" s="13" t="s">
        <v>250</v>
      </c>
      <c r="E15" s="14" t="s">
        <v>49</v>
      </c>
      <c r="F15" s="22" t="s">
        <v>56</v>
      </c>
      <c r="G15" s="16">
        <v>5.0</v>
      </c>
      <c r="H15" s="20">
        <v>0.0</v>
      </c>
      <c r="I15" s="19">
        <f t="shared" si="1"/>
        <v>5</v>
      </c>
      <c r="J15" s="17">
        <v>5.0</v>
      </c>
      <c r="K15" s="19">
        <f t="shared" si="2"/>
        <v>0</v>
      </c>
      <c r="L15" s="20">
        <v>0.0</v>
      </c>
      <c r="M15" s="19">
        <f t="shared" si="3"/>
        <v>0</v>
      </c>
      <c r="N15" s="20">
        <v>0.0</v>
      </c>
      <c r="O15" s="19">
        <f t="shared" si="4"/>
        <v>0</v>
      </c>
      <c r="P15" s="20">
        <v>0.0</v>
      </c>
      <c r="Q15" s="19">
        <f t="shared" si="5"/>
        <v>0</v>
      </c>
      <c r="R15" s="20">
        <v>0.0</v>
      </c>
      <c r="S15" s="19">
        <f t="shared" si="6"/>
        <v>0</v>
      </c>
      <c r="T15" s="20">
        <v>0.0</v>
      </c>
      <c r="U15" s="19">
        <f t="shared" si="7"/>
        <v>0</v>
      </c>
      <c r="V15" s="20">
        <v>0.0</v>
      </c>
      <c r="W15" s="19">
        <f t="shared" si="8"/>
        <v>0</v>
      </c>
      <c r="X15" s="20">
        <v>0.0</v>
      </c>
      <c r="Y15" s="19">
        <f t="shared" si="9"/>
        <v>0</v>
      </c>
      <c r="Z15" s="20">
        <v>0.0</v>
      </c>
      <c r="AA15" s="19">
        <f t="shared" si="10"/>
        <v>0</v>
      </c>
      <c r="AB15" s="23">
        <f t="shared" si="11"/>
        <v>5</v>
      </c>
      <c r="AC15" s="23">
        <f t="shared" si="12"/>
        <v>0</v>
      </c>
    </row>
    <row r="16" ht="31.5" customHeight="1">
      <c r="A16" s="31"/>
      <c r="B16" s="11"/>
      <c r="C16" s="12" t="s">
        <v>251</v>
      </c>
      <c r="D16" s="13" t="s">
        <v>252</v>
      </c>
      <c r="E16" s="14" t="s">
        <v>41</v>
      </c>
      <c r="F16" s="22" t="s">
        <v>56</v>
      </c>
      <c r="G16" s="16">
        <v>7.0</v>
      </c>
      <c r="H16" s="20">
        <v>0.0</v>
      </c>
      <c r="I16" s="19">
        <f t="shared" si="1"/>
        <v>7</v>
      </c>
      <c r="J16" s="20">
        <v>0.0</v>
      </c>
      <c r="K16" s="19">
        <f t="shared" si="2"/>
        <v>7</v>
      </c>
      <c r="L16" s="20">
        <v>0.0</v>
      </c>
      <c r="M16" s="19">
        <f t="shared" si="3"/>
        <v>7</v>
      </c>
      <c r="N16" s="20">
        <v>0.0</v>
      </c>
      <c r="O16" s="19">
        <f t="shared" si="4"/>
        <v>7</v>
      </c>
      <c r="P16" s="20">
        <v>0.0</v>
      </c>
      <c r="Q16" s="19">
        <f t="shared" si="5"/>
        <v>7</v>
      </c>
      <c r="R16" s="20">
        <v>0.0</v>
      </c>
      <c r="S16" s="19">
        <f t="shared" si="6"/>
        <v>7</v>
      </c>
      <c r="T16" s="17">
        <v>7.0</v>
      </c>
      <c r="U16" s="19">
        <f t="shared" si="7"/>
        <v>0</v>
      </c>
      <c r="V16" s="20">
        <v>0.0</v>
      </c>
      <c r="W16" s="19">
        <f t="shared" si="8"/>
        <v>0</v>
      </c>
      <c r="X16" s="20">
        <v>0.0</v>
      </c>
      <c r="Y16" s="19">
        <f t="shared" si="9"/>
        <v>0</v>
      </c>
      <c r="Z16" s="20">
        <v>0.0</v>
      </c>
      <c r="AA16" s="19">
        <f t="shared" si="10"/>
        <v>0</v>
      </c>
      <c r="AB16" s="23">
        <f t="shared" si="11"/>
        <v>7</v>
      </c>
      <c r="AC16" s="23">
        <f t="shared" si="12"/>
        <v>0</v>
      </c>
    </row>
    <row r="17" ht="31.5" customHeight="1">
      <c r="A17" s="31"/>
      <c r="B17" s="11"/>
      <c r="C17" s="12" t="s">
        <v>253</v>
      </c>
      <c r="D17" s="13" t="s">
        <v>254</v>
      </c>
      <c r="E17" s="14" t="s">
        <v>41</v>
      </c>
      <c r="F17" s="22" t="s">
        <v>56</v>
      </c>
      <c r="G17" s="16">
        <v>7.0</v>
      </c>
      <c r="H17" s="20">
        <v>0.0</v>
      </c>
      <c r="I17" s="19">
        <f t="shared" si="1"/>
        <v>7</v>
      </c>
      <c r="J17" s="20">
        <v>0.0</v>
      </c>
      <c r="K17" s="19">
        <f t="shared" si="2"/>
        <v>7</v>
      </c>
      <c r="L17" s="20">
        <v>0.0</v>
      </c>
      <c r="M17" s="19">
        <f t="shared" si="3"/>
        <v>7</v>
      </c>
      <c r="N17" s="20">
        <v>0.0</v>
      </c>
      <c r="O17" s="19">
        <f t="shared" si="4"/>
        <v>7</v>
      </c>
      <c r="P17" s="20">
        <v>0.0</v>
      </c>
      <c r="Q17" s="19">
        <f t="shared" si="5"/>
        <v>7</v>
      </c>
      <c r="R17" s="20">
        <v>0.0</v>
      </c>
      <c r="S17" s="19">
        <f t="shared" si="6"/>
        <v>7</v>
      </c>
      <c r="T17" s="17">
        <v>1.0</v>
      </c>
      <c r="U17" s="19">
        <f t="shared" si="7"/>
        <v>6</v>
      </c>
      <c r="V17" s="17">
        <v>6.0</v>
      </c>
      <c r="W17" s="19">
        <f t="shared" si="8"/>
        <v>0</v>
      </c>
      <c r="X17" s="20">
        <v>0.0</v>
      </c>
      <c r="Y17" s="19">
        <f t="shared" si="9"/>
        <v>0</v>
      </c>
      <c r="Z17" s="20">
        <v>0.0</v>
      </c>
      <c r="AA17" s="19">
        <f t="shared" si="10"/>
        <v>0</v>
      </c>
      <c r="AB17" s="23">
        <f t="shared" si="11"/>
        <v>7</v>
      </c>
      <c r="AC17" s="23">
        <f t="shared" si="12"/>
        <v>0</v>
      </c>
    </row>
    <row r="18" ht="31.5" customHeight="1">
      <c r="A18" s="31"/>
      <c r="B18" s="11"/>
      <c r="C18" s="12" t="s">
        <v>255</v>
      </c>
      <c r="D18" s="13" t="s">
        <v>256</v>
      </c>
      <c r="E18" s="14" t="s">
        <v>41</v>
      </c>
      <c r="F18" s="22" t="s">
        <v>56</v>
      </c>
      <c r="G18" s="16">
        <v>7.0</v>
      </c>
      <c r="H18" s="20">
        <v>0.0</v>
      </c>
      <c r="I18" s="19">
        <f t="shared" si="1"/>
        <v>7</v>
      </c>
      <c r="J18" s="20">
        <v>0.0</v>
      </c>
      <c r="K18" s="19">
        <f t="shared" si="2"/>
        <v>7</v>
      </c>
      <c r="L18" s="20">
        <v>0.0</v>
      </c>
      <c r="M18" s="19">
        <f t="shared" si="3"/>
        <v>7</v>
      </c>
      <c r="N18" s="20">
        <v>0.0</v>
      </c>
      <c r="O18" s="19">
        <f t="shared" si="4"/>
        <v>7</v>
      </c>
      <c r="P18" s="20">
        <v>0.0</v>
      </c>
      <c r="Q18" s="19">
        <f t="shared" si="5"/>
        <v>7</v>
      </c>
      <c r="R18" s="20">
        <v>0.0</v>
      </c>
      <c r="S18" s="19">
        <f t="shared" si="6"/>
        <v>7</v>
      </c>
      <c r="T18" s="20">
        <v>0.0</v>
      </c>
      <c r="U18" s="19">
        <f t="shared" si="7"/>
        <v>7</v>
      </c>
      <c r="V18" s="17">
        <v>2.0</v>
      </c>
      <c r="W18" s="19">
        <f t="shared" si="8"/>
        <v>5</v>
      </c>
      <c r="X18" s="17">
        <v>5.0</v>
      </c>
      <c r="Y18" s="19">
        <f t="shared" si="9"/>
        <v>0</v>
      </c>
      <c r="Z18" s="20">
        <v>0.0</v>
      </c>
      <c r="AA18" s="19">
        <f t="shared" si="10"/>
        <v>0</v>
      </c>
      <c r="AB18" s="23">
        <f t="shared" si="11"/>
        <v>7</v>
      </c>
      <c r="AC18" s="23">
        <f t="shared" si="12"/>
        <v>0</v>
      </c>
    </row>
    <row r="19" ht="31.5" customHeight="1">
      <c r="A19" s="31"/>
      <c r="B19" s="11"/>
      <c r="C19" s="12" t="s">
        <v>257</v>
      </c>
      <c r="D19" s="13" t="s">
        <v>258</v>
      </c>
      <c r="E19" s="14" t="s">
        <v>73</v>
      </c>
      <c r="F19" s="22" t="s">
        <v>56</v>
      </c>
      <c r="G19" s="16">
        <v>5.0</v>
      </c>
      <c r="H19" s="17">
        <v>3.0</v>
      </c>
      <c r="I19" s="19">
        <f t="shared" si="1"/>
        <v>2</v>
      </c>
      <c r="J19" s="17">
        <v>2.0</v>
      </c>
      <c r="K19" s="19">
        <f t="shared" si="2"/>
        <v>0</v>
      </c>
      <c r="L19" s="20">
        <v>0.0</v>
      </c>
      <c r="M19" s="19">
        <f t="shared" si="3"/>
        <v>0</v>
      </c>
      <c r="N19" s="20">
        <v>0.0</v>
      </c>
      <c r="O19" s="19">
        <f t="shared" si="4"/>
        <v>0</v>
      </c>
      <c r="P19" s="20">
        <v>0.0</v>
      </c>
      <c r="Q19" s="19">
        <f t="shared" si="5"/>
        <v>0</v>
      </c>
      <c r="R19" s="20">
        <v>0.0</v>
      </c>
      <c r="S19" s="19">
        <f t="shared" si="6"/>
        <v>0</v>
      </c>
      <c r="T19" s="20">
        <v>0.0</v>
      </c>
      <c r="U19" s="19">
        <f t="shared" si="7"/>
        <v>0</v>
      </c>
      <c r="V19" s="20">
        <v>0.0</v>
      </c>
      <c r="W19" s="19">
        <f t="shared" si="8"/>
        <v>0</v>
      </c>
      <c r="X19" s="20">
        <v>0.0</v>
      </c>
      <c r="Y19" s="19">
        <f t="shared" si="9"/>
        <v>0</v>
      </c>
      <c r="Z19" s="20">
        <v>0.0</v>
      </c>
      <c r="AA19" s="19">
        <f t="shared" si="10"/>
        <v>0</v>
      </c>
      <c r="AB19" s="23">
        <f t="shared" si="11"/>
        <v>5</v>
      </c>
      <c r="AC19" s="23">
        <f t="shared" si="12"/>
        <v>0</v>
      </c>
    </row>
    <row r="20" ht="31.5" customHeight="1">
      <c r="A20" s="31" t="s">
        <v>259</v>
      </c>
      <c r="B20" s="11" t="s">
        <v>260</v>
      </c>
      <c r="C20" s="12" t="s">
        <v>261</v>
      </c>
      <c r="D20" s="13" t="s">
        <v>262</v>
      </c>
      <c r="E20" s="14" t="s">
        <v>41</v>
      </c>
      <c r="F20" s="22" t="s">
        <v>56</v>
      </c>
      <c r="G20" s="16">
        <v>6.0</v>
      </c>
      <c r="H20" s="20">
        <v>0.0</v>
      </c>
      <c r="I20" s="19">
        <f t="shared" si="1"/>
        <v>6</v>
      </c>
      <c r="J20" s="20">
        <v>0.0</v>
      </c>
      <c r="K20" s="19">
        <f t="shared" si="2"/>
        <v>6</v>
      </c>
      <c r="L20" s="20">
        <v>0.0</v>
      </c>
      <c r="M20" s="19">
        <f t="shared" si="3"/>
        <v>6</v>
      </c>
      <c r="N20" s="20">
        <v>0.0</v>
      </c>
      <c r="O20" s="19">
        <f t="shared" si="4"/>
        <v>6</v>
      </c>
      <c r="P20" s="20">
        <v>0.0</v>
      </c>
      <c r="Q20" s="19">
        <f t="shared" si="5"/>
        <v>6</v>
      </c>
      <c r="R20" s="20">
        <v>0.0</v>
      </c>
      <c r="S20" s="19">
        <f t="shared" si="6"/>
        <v>6</v>
      </c>
      <c r="T20" s="20">
        <v>0.0</v>
      </c>
      <c r="U20" s="19">
        <f t="shared" si="7"/>
        <v>6</v>
      </c>
      <c r="V20" s="20">
        <v>0.0</v>
      </c>
      <c r="W20" s="19">
        <f t="shared" si="8"/>
        <v>6</v>
      </c>
      <c r="X20" s="17">
        <v>3.0</v>
      </c>
      <c r="Y20" s="19">
        <f t="shared" si="9"/>
        <v>3</v>
      </c>
      <c r="Z20" s="17">
        <v>3.0</v>
      </c>
      <c r="AA20" s="19">
        <f t="shared" si="10"/>
        <v>0</v>
      </c>
      <c r="AB20" s="23">
        <f t="shared" si="11"/>
        <v>6</v>
      </c>
      <c r="AC20" s="23">
        <f t="shared" si="12"/>
        <v>0</v>
      </c>
    </row>
    <row r="21" ht="31.5" customHeight="1">
      <c r="A21" s="31"/>
      <c r="B21" s="11"/>
      <c r="C21" s="12" t="s">
        <v>263</v>
      </c>
      <c r="D21" s="13" t="s">
        <v>264</v>
      </c>
      <c r="E21" s="14" t="s">
        <v>41</v>
      </c>
      <c r="F21" s="22" t="s">
        <v>56</v>
      </c>
      <c r="G21" s="16">
        <v>5.0</v>
      </c>
      <c r="H21" s="20">
        <v>0.0</v>
      </c>
      <c r="I21" s="19">
        <f t="shared" si="1"/>
        <v>5</v>
      </c>
      <c r="J21" s="20">
        <v>0.0</v>
      </c>
      <c r="K21" s="19">
        <f t="shared" si="2"/>
        <v>5</v>
      </c>
      <c r="L21" s="20">
        <v>0.0</v>
      </c>
      <c r="M21" s="19">
        <f t="shared" si="3"/>
        <v>5</v>
      </c>
      <c r="N21" s="20">
        <v>0.0</v>
      </c>
      <c r="O21" s="19">
        <f t="shared" si="4"/>
        <v>5</v>
      </c>
      <c r="P21" s="20">
        <v>0.0</v>
      </c>
      <c r="Q21" s="19">
        <f t="shared" si="5"/>
        <v>5</v>
      </c>
      <c r="R21" s="20">
        <v>0.0</v>
      </c>
      <c r="S21" s="19">
        <f t="shared" si="6"/>
        <v>5</v>
      </c>
      <c r="T21" s="20">
        <v>0.0</v>
      </c>
      <c r="U21" s="19">
        <f t="shared" si="7"/>
        <v>5</v>
      </c>
      <c r="V21" s="20">
        <v>0.0</v>
      </c>
      <c r="W21" s="19">
        <f t="shared" si="8"/>
        <v>5</v>
      </c>
      <c r="X21" s="20">
        <v>0.0</v>
      </c>
      <c r="Y21" s="19">
        <f t="shared" si="9"/>
        <v>5</v>
      </c>
      <c r="Z21" s="17">
        <v>5.0</v>
      </c>
      <c r="AA21" s="19">
        <f t="shared" si="10"/>
        <v>0</v>
      </c>
      <c r="AB21" s="23">
        <f t="shared" si="11"/>
        <v>5</v>
      </c>
      <c r="AC21" s="23">
        <f t="shared" si="12"/>
        <v>0</v>
      </c>
    </row>
    <row r="22" ht="31.5" customHeight="1">
      <c r="A22" s="31"/>
      <c r="B22" s="11"/>
      <c r="C22" s="12" t="s">
        <v>265</v>
      </c>
      <c r="D22" s="13" t="s">
        <v>258</v>
      </c>
      <c r="E22" s="14" t="s">
        <v>73</v>
      </c>
      <c r="F22" s="22" t="s">
        <v>56</v>
      </c>
      <c r="G22" s="16">
        <v>4.0</v>
      </c>
      <c r="H22" s="20">
        <v>0.0</v>
      </c>
      <c r="I22" s="19">
        <f t="shared" si="1"/>
        <v>4</v>
      </c>
      <c r="J22" s="17">
        <v>4.0</v>
      </c>
      <c r="K22" s="19">
        <f t="shared" si="2"/>
        <v>0</v>
      </c>
      <c r="L22" s="20">
        <v>0.0</v>
      </c>
      <c r="M22" s="19">
        <f t="shared" si="3"/>
        <v>0</v>
      </c>
      <c r="N22" s="20">
        <v>0.0</v>
      </c>
      <c r="O22" s="19">
        <f t="shared" si="4"/>
        <v>0</v>
      </c>
      <c r="P22" s="20">
        <v>0.0</v>
      </c>
      <c r="Q22" s="19">
        <f t="shared" si="5"/>
        <v>0</v>
      </c>
      <c r="R22" s="20">
        <v>0.0</v>
      </c>
      <c r="S22" s="19">
        <f t="shared" si="6"/>
        <v>0</v>
      </c>
      <c r="T22" s="20">
        <v>0.0</v>
      </c>
      <c r="U22" s="19">
        <f t="shared" si="7"/>
        <v>0</v>
      </c>
      <c r="V22" s="20">
        <v>0.0</v>
      </c>
      <c r="W22" s="19">
        <f t="shared" si="8"/>
        <v>0</v>
      </c>
      <c r="X22" s="20">
        <v>0.0</v>
      </c>
      <c r="Y22" s="19">
        <f t="shared" si="9"/>
        <v>0</v>
      </c>
      <c r="Z22" s="20">
        <v>0.0</v>
      </c>
      <c r="AA22" s="19">
        <f t="shared" si="10"/>
        <v>0</v>
      </c>
      <c r="AB22" s="23">
        <f t="shared" si="11"/>
        <v>4</v>
      </c>
      <c r="AC22" s="23">
        <f t="shared" si="12"/>
        <v>0</v>
      </c>
    </row>
    <row r="23" ht="15.75" customHeight="1">
      <c r="A23" s="27"/>
      <c r="B23" s="27"/>
      <c r="C23" s="27"/>
      <c r="D23" s="28" t="s">
        <v>190</v>
      </c>
      <c r="E23" s="27"/>
      <c r="F23" s="27"/>
      <c r="G23" s="29">
        <f t="shared" ref="G23:H23" si="13">SUM(G6:G22)</f>
        <v>109</v>
      </c>
      <c r="H23" s="30">
        <f t="shared" si="13"/>
        <v>24</v>
      </c>
      <c r="I23" s="27"/>
      <c r="J23" s="30">
        <f>SUM(J6:J22)</f>
        <v>21</v>
      </c>
      <c r="K23" s="27"/>
      <c r="L23" s="30">
        <f>SUM(L6:L22)</f>
        <v>8</v>
      </c>
      <c r="M23" s="27"/>
      <c r="N23" s="30">
        <f>SUM(N6:N22)</f>
        <v>8</v>
      </c>
      <c r="O23" s="27"/>
      <c r="P23" s="30">
        <f>SUM(P6:P22)</f>
        <v>8</v>
      </c>
      <c r="Q23" s="27"/>
      <c r="R23" s="30">
        <f>SUM(R6:R22)</f>
        <v>8</v>
      </c>
      <c r="S23" s="27"/>
      <c r="T23" s="30">
        <f>SUM(T6:T22)</f>
        <v>8</v>
      </c>
      <c r="U23" s="27"/>
      <c r="V23" s="30">
        <f>SUM(V6:V22)</f>
        <v>8</v>
      </c>
      <c r="W23" s="27"/>
      <c r="X23" s="30">
        <f>SUM(X6:X22)</f>
        <v>8</v>
      </c>
      <c r="Y23" s="27"/>
      <c r="Z23" s="30">
        <f>SUM(Z6:Z22)</f>
        <v>8</v>
      </c>
      <c r="AA23" s="27"/>
      <c r="AB23" s="30">
        <f t="shared" ref="AB23:AC23" si="14">SUM(AB6:AB22)</f>
        <v>109</v>
      </c>
      <c r="AC23" s="30">
        <f t="shared" si="14"/>
        <v>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R4:S4"/>
    <mergeCell ref="T4:U4"/>
    <mergeCell ref="V4:W4"/>
    <mergeCell ref="X4:Y4"/>
    <mergeCell ref="Z4:AA4"/>
    <mergeCell ref="A1:H1"/>
    <mergeCell ref="A2:H2"/>
    <mergeCell ref="H4:I4"/>
    <mergeCell ref="J4:K4"/>
    <mergeCell ref="L4:M4"/>
    <mergeCell ref="N4:O4"/>
    <mergeCell ref="P4:Q4"/>
  </mergeCells>
  <printOptions/>
  <pageMargins bottom="1.0" footer="0.0" header="0.0" left="0.35" right="0.35" top="1.0"/>
  <pageSetup paperSize="3" orientation="landscape"/>
  <headerFooter>
    <oddFooter>&amp;LSprint backlog 5 — Haircut Home Studio&amp;RTareas y horas del PDF</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2026-09-30T08:58:01Z</dcterms:created>
  <dc:creator>openpyxl</dc:creator>
</cp:coreProperties>
</file>