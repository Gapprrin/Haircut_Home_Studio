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  <extLst>
    <ext uri="GoogleSheetsCustomDataVersion2">
      <go:sheetsCustomData xmlns:go="http://customooxmlschemas.google.com/" r:id="rId9" roundtripDataChecksum="Ao+4PhC09hzJtdqe7rgk1dxLA8F8yz7NxgkQ6zBk8C8="/>
    </ext>
  </extLst>
</workbook>
</file>

<file path=xl/sharedStrings.xml><?xml version="1.0" encoding="utf-8"?>
<sst xmlns="http://schemas.openxmlformats.org/spreadsheetml/2006/main" count="285" uniqueCount="206">
  <si>
    <t>Burndown — Sprint 3 — Haircut Home Studio</t>
  </si>
  <si>
    <t>Burndown — Sprint 4 — Haircut Home Studio</t>
  </si>
  <si>
    <t>28/09/2026 – 11/10/2026  ·  94 h planificadas según el PDF  ·  10 días hábiles  ·  la línea ideal reparte esas horas en partes iguales</t>
  </si>
  <si>
    <t>12/10/2026 – 25/10/2026  ·  84 h planificadas según el PDF  ·  10 días hábiles  ·  la línea ideal reparte esas horas en partes iguales</t>
  </si>
  <si>
    <t>ID</t>
  </si>
  <si>
    <t>Tarea</t>
  </si>
  <si>
    <t>Horas</t>
  </si>
  <si>
    <t>Día 1</t>
  </si>
  <si>
    <t>Día 2</t>
  </si>
  <si>
    <t>Día 3</t>
  </si>
  <si>
    <t>Día 4</t>
  </si>
  <si>
    <t>Día 5</t>
  </si>
  <si>
    <t>Día 6</t>
  </si>
  <si>
    <t>Día 7</t>
  </si>
  <si>
    <t>Burndown — Sprint 1 — Haircut Home Studio</t>
  </si>
  <si>
    <t>Día 8</t>
  </si>
  <si>
    <t>Día 9</t>
  </si>
  <si>
    <t>Día 10</t>
  </si>
  <si>
    <t>Suma</t>
  </si>
  <si>
    <t>31/08/2026 – 13/09/2026  ·  105 h planificadas según el PDF  ·  10 días hábiles  ·  la línea ideal reparte esas horas en partes iguales</t>
  </si>
  <si>
    <t>E03-HU01-T01</t>
  </si>
  <si>
    <t>Creación de inputs para las credenciales y datos del usuario</t>
  </si>
  <si>
    <t>E04-HU01-T01</t>
  </si>
  <si>
    <t>Edición de categorías</t>
  </si>
  <si>
    <t>Burndown — Sprint 2 — Haircut Home Studio</t>
  </si>
  <si>
    <t>E03-HU01-T02</t>
  </si>
  <si>
    <t>E01-HU01-T01</t>
  </si>
  <si>
    <t>Definir y aplicar politica de creación de contraseña</t>
  </si>
  <si>
    <t>E04-HU01-T02</t>
  </si>
  <si>
    <t>Registro de edición de la categoría</t>
  </si>
  <si>
    <t>14/09/2026 – 27/09/2026  ·  77 h planificadas según el PDF  ·  10 días hábiles  ·  la línea ideal reparte esas horas en partes iguales</t>
  </si>
  <si>
    <t>E03-HU01-T03</t>
  </si>
  <si>
    <t>Verificación de correo (activación y validez)</t>
  </si>
  <si>
    <t>Reserva de hora (bloqueo temporal)</t>
  </si>
  <si>
    <t>E03-HU01-T04</t>
  </si>
  <si>
    <t>E04-HU01-T03</t>
  </si>
  <si>
    <t>Validar correo duplicado.</t>
  </si>
  <si>
    <t>Validación del cambio en bbdd</t>
  </si>
  <si>
    <t>E03-HU02-T01</t>
  </si>
  <si>
    <t>Creación de inputs (correo, contraseña)</t>
  </si>
  <si>
    <t>E04-HU02-T01</t>
  </si>
  <si>
    <t>Edición de servicios</t>
  </si>
  <si>
    <t>E03-HU02-T02</t>
  </si>
  <si>
    <t>Validación de correo (verifica que haya un usuario con dicho correo)</t>
  </si>
  <si>
    <t>E03-HU02-T03</t>
  </si>
  <si>
    <t>Validación de contraseña (verifica que la contraseña pertenezca al usuario con dicho correo)</t>
  </si>
  <si>
    <t>E04-HU02-T02</t>
  </si>
  <si>
    <t>Registro de edición de servicio</t>
  </si>
  <si>
    <t>E03-HU02-T04</t>
  </si>
  <si>
    <t>Muestra mensaje de credenciales invalidas</t>
  </si>
  <si>
    <t>E03-HU02-T05</t>
  </si>
  <si>
    <t>E04-HU02-T03</t>
  </si>
  <si>
    <t>Redirigir a las vistas correspondientes del rol del usuario</t>
  </si>
  <si>
    <t>E03-HU02-T06</t>
  </si>
  <si>
    <t>Botón de "olvidé contraseña"</t>
  </si>
  <si>
    <t>E04-HU03-T01</t>
  </si>
  <si>
    <t>Edición de producto</t>
  </si>
  <si>
    <t>E03-HU02-T07</t>
  </si>
  <si>
    <t>Probar creación de cuenta</t>
  </si>
  <si>
    <t>E01-HU02-T01</t>
  </si>
  <si>
    <t>E03-HU03-T01</t>
  </si>
  <si>
    <t>El sistema elimina los datos locales de la sesión</t>
  </si>
  <si>
    <t>Identificación de la mejor hora del día dependiendo del servicio elegido</t>
  </si>
  <si>
    <t>E04-HU03-T02</t>
  </si>
  <si>
    <t>Registro de edición de producto</t>
  </si>
  <si>
    <t>E03-HU03-T02</t>
  </si>
  <si>
    <t>El sistema muestra la vista de usuario sin cuenta.</t>
  </si>
  <si>
    <t>E03-HU03-T03</t>
  </si>
  <si>
    <t>Probar cerrado de sesión</t>
  </si>
  <si>
    <t>E03-HU04-T01</t>
  </si>
  <si>
    <t>E04-HU03-T03</t>
  </si>
  <si>
    <t>Creación de página de perfil</t>
  </si>
  <si>
    <t>E01-HU01-T02</t>
  </si>
  <si>
    <t>Crear mensaje de confirmación de hora</t>
  </si>
  <si>
    <t>E03-HU04-T02</t>
  </si>
  <si>
    <t>Mostrar la información sensible (personal) del cliente</t>
  </si>
  <si>
    <t>E03-HU04-T03</t>
  </si>
  <si>
    <t>Listar servicios/productos comprados</t>
  </si>
  <si>
    <t>E07-HU02-T01</t>
  </si>
  <si>
    <t>E03-HU04-T04</t>
  </si>
  <si>
    <t>Modificar información sensible</t>
  </si>
  <si>
    <t>Implementar sistema de creditos por rol</t>
  </si>
  <si>
    <t>E03-HU04-T05</t>
  </si>
  <si>
    <t>Probar modulo de página de perfil</t>
  </si>
  <si>
    <t>E05-HU03-T01</t>
  </si>
  <si>
    <t>E01-HU01-T03</t>
  </si>
  <si>
    <t>Mostrar información de contacto y ubicación en pie de página</t>
  </si>
  <si>
    <t>E07-HU02-T02</t>
  </si>
  <si>
    <t>Agenda de hora (registro en la bbdd)</t>
  </si>
  <si>
    <t>Asignar 3 creditos para usuarios normales</t>
  </si>
  <si>
    <t>E05-HU03-T02</t>
  </si>
  <si>
    <t>E01-HU02-T02</t>
  </si>
  <si>
    <t>Mostrar información de contacto y ubicación en página "acerca de"</t>
  </si>
  <si>
    <t>Identificación del mejor día de la semana dependiendo del servicio elegido</t>
  </si>
  <si>
    <t>E07-HU02-T03</t>
  </si>
  <si>
    <t>E05-HU03-T03</t>
  </si>
  <si>
    <t>Validar correcta visualización</t>
  </si>
  <si>
    <t>Asignar creditos ilimiatados para el administrador y el peluquero</t>
  </si>
  <si>
    <t>E01-HU01-T04</t>
  </si>
  <si>
    <t>Verificar reserva en la bbdd</t>
  </si>
  <si>
    <t>Consumo del día</t>
  </si>
  <si>
    <t>E07-HU02-T04</t>
  </si>
  <si>
    <t>Mostrar mensaje de alerta cada 2 simulaciones, avisando que queda 1 simulación disponible o que ya van 3 en caso de ser admin o peluquero</t>
  </si>
  <si>
    <t>E02-HU01-T01</t>
  </si>
  <si>
    <t>Consultar las reservas existentes</t>
  </si>
  <si>
    <t>E07-HU02-T05</t>
  </si>
  <si>
    <t>Probar funcionamiento de los creditos y advertencias</t>
  </si>
  <si>
    <t>E01-HU02-T03</t>
  </si>
  <si>
    <t>Identificación de la mejor semana o mes dependiendo del servicio elegido</t>
  </si>
  <si>
    <t>E02-HU01-T02</t>
  </si>
  <si>
    <t>Revisar calendario con leyenda</t>
  </si>
  <si>
    <t>E07-HU03-T01</t>
  </si>
  <si>
    <t>Mostrar en recuadro, simulaciones previas</t>
  </si>
  <si>
    <t>E01-HU03-T01</t>
  </si>
  <si>
    <t>Contruir calendario</t>
  </si>
  <si>
    <t>E02-HU01-T03</t>
  </si>
  <si>
    <t>Mostrar detalles básicos (cliente, hora y servicio) de la reserva</t>
  </si>
  <si>
    <t>E07-HU03-T02</t>
  </si>
  <si>
    <t>Mostrar detalles de la simulación previa</t>
  </si>
  <si>
    <t>Horas que aún faltan</t>
  </si>
  <si>
    <t>E01-HU03-T02</t>
  </si>
  <si>
    <t>Inicio</t>
  </si>
  <si>
    <t>Mostrar horas agendadas y disponibles dependiendo del horario de trabajo, mostrando su duración</t>
  </si>
  <si>
    <t>E07-HU03-T03</t>
  </si>
  <si>
    <t>Eliminar y reiniciar cada 24 horas las simulaciones</t>
  </si>
  <si>
    <t>E02-HU01-T04</t>
  </si>
  <si>
    <t>Probar lista, calendario y detalles básicos</t>
  </si>
  <si>
    <t>E01-HU03-T03</t>
  </si>
  <si>
    <t>Plan (según tareas del día)</t>
  </si>
  <si>
    <t>Mostrar horas deshabilitadas</t>
  </si>
  <si>
    <t>E02-HU02-T01</t>
  </si>
  <si>
    <t>Crear reserva en persona</t>
  </si>
  <si>
    <t>E05-HU01-T01</t>
  </si>
  <si>
    <t>Listar productos disponibles en home</t>
  </si>
  <si>
    <t>E05-HU01-T02</t>
  </si>
  <si>
    <t>E02-HU02-T02</t>
  </si>
  <si>
    <t>Mostrar los 10 productos más usados/comprados</t>
  </si>
  <si>
    <t>Modificar detalles de una reserva (reprogramar, modificar servicios, etc)</t>
  </si>
  <si>
    <t>E05-HU01-T03</t>
  </si>
  <si>
    <t>Probar correcta visualización de productos</t>
  </si>
  <si>
    <t>Ideal (reparto parejo)</t>
  </si>
  <si>
    <t>E02-HU02-T03</t>
  </si>
  <si>
    <t>Cancelar reservas</t>
  </si>
  <si>
    <t>E05-HU02-T01</t>
  </si>
  <si>
    <t>Crear sistema de reseñas x servicio</t>
  </si>
  <si>
    <t>E05-HU02-T02</t>
  </si>
  <si>
    <t>E02-HU02-T04</t>
  </si>
  <si>
    <t>Mostrar reseñas en el detalle del servicio</t>
  </si>
  <si>
    <t>Probar creación, modificación y cancelación.</t>
  </si>
  <si>
    <t>E05-HU02-T03</t>
  </si>
  <si>
    <t>Calcular y mostrar promedio de estrellas</t>
  </si>
  <si>
    <t>E02-HU03-T01</t>
  </si>
  <si>
    <t>Bloqueo de horas disponibles en el día</t>
  </si>
  <si>
    <t>E05-HU02-T04</t>
  </si>
  <si>
    <t>Validar correcto funcionamiento del sistema y visualización</t>
  </si>
  <si>
    <t>E02-HU03-T02</t>
  </si>
  <si>
    <t>Bloqueo de días, semanas o mes</t>
  </si>
  <si>
    <t>E02-HU03-T03</t>
  </si>
  <si>
    <t>Desbloqueo de horas, días, semanas o mes + imposibilidad de modificar días pasados</t>
  </si>
  <si>
    <t>E02-HU03-T04</t>
  </si>
  <si>
    <t>Realizar registro de cambio en la bbdd</t>
  </si>
  <si>
    <t>E02-HU03-T05</t>
  </si>
  <si>
    <t>Probar bloqueos y desbloqueos</t>
  </si>
  <si>
    <t>E02-HU04-T01</t>
  </si>
  <si>
    <t>Mostrar contador de reservas pendientes y confirmadas.</t>
  </si>
  <si>
    <t>E02-HU04-T02</t>
  </si>
  <si>
    <t>Calcular servicios más cotizados</t>
  </si>
  <si>
    <t>E02-HU04-T03</t>
  </si>
  <si>
    <t>Calculo de ingresos semanales, mensuales, trimestrales, semestrales, anuales.</t>
  </si>
  <si>
    <t>E02-HU04-T04</t>
  </si>
  <si>
    <t>Probar dashboard</t>
  </si>
  <si>
    <t>Burndown — Sprint 5 — Haircut Home Studio</t>
  </si>
  <si>
    <t>26/10/2026 – 08/11/2026  ·  109 h planificadas según el PDF  ·  10 días hábiles  ·  la línea ideal reparte esas horas en partes iguales</t>
  </si>
  <si>
    <t>E07-HU01-T01</t>
  </si>
  <si>
    <t>Pagar suscripción de agente IA</t>
  </si>
  <si>
    <t>E07-HU01-T02</t>
  </si>
  <si>
    <t>Configurar el Agente IA</t>
  </si>
  <si>
    <t>E07-HU01-T03</t>
  </si>
  <si>
    <t>Desarrollo de modulo de IA en el sistema</t>
  </si>
  <si>
    <t>E07-HU01-T04</t>
  </si>
  <si>
    <t>Implementar agente IA en el sistema</t>
  </si>
  <si>
    <t>E07-HU01-T05</t>
  </si>
  <si>
    <t>Implementar subida de foto y asegurar privacidad del usuario</t>
  </si>
  <si>
    <t>E07-HU01-T06</t>
  </si>
  <si>
    <t>Implementar simulación con servicios ofrecidos por la peluquería</t>
  </si>
  <si>
    <t>E07-HU01-T07</t>
  </si>
  <si>
    <t>Mostrar simulación</t>
  </si>
  <si>
    <t>E07-HU01-T08</t>
  </si>
  <si>
    <t>Validar generación de la simulación</t>
  </si>
  <si>
    <t>E07-HU01-T09</t>
  </si>
  <si>
    <t>Almacenar localmente la simulación</t>
  </si>
  <si>
    <t>E06-HU01-T01</t>
  </si>
  <si>
    <t>Agregar burbuja de chat</t>
  </si>
  <si>
    <t>E06-HU01-T02</t>
  </si>
  <si>
    <t>Crear e implementar chats predefinidos</t>
  </si>
  <si>
    <t>E06-HU01-T03</t>
  </si>
  <si>
    <t>Consultar disponibilidad de horas</t>
  </si>
  <si>
    <t>E06-HU01-T04</t>
  </si>
  <si>
    <t>Registrar reserva (para validación x peluquero)</t>
  </si>
  <si>
    <t>E06-HU01-T05</t>
  </si>
  <si>
    <t>Probar implementación</t>
  </si>
  <si>
    <t>E06-HU02-T01</t>
  </si>
  <si>
    <t>Implementar solicitud de atención por personal</t>
  </si>
  <si>
    <t>E06-HU02-T02</t>
  </si>
  <si>
    <t>Configurar redirección a chat con peluquero</t>
  </si>
  <si>
    <t>E06-HU02-T03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</si>
</sst>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0.#"/>
    <numFmt numFmtId="166" formatCode="0.0"/>
  </numFmts>
  <fonts count="17">
    <font>
      <sz val="11.0"/>
      <color theme="1"/>
      <name val="Calibri"/>
      <scheme val="minor"/>
    </font>
    <font>
      <b/>
      <sz val="16.0"/>
      <color rgb="FF1F4E79"/>
      <name val="Calibri"/>
    </font>
    <font>
      <sz val="10.0"/>
      <color rgb="FF595959"/>
      <name val="Calibri"/>
    </font>
    <font>
      <b/>
      <sz val="11.0"/>
      <color rgb="FFFFFFFF"/>
      <name val="Calibri"/>
    </font>
    <font>
      <b/>
      <sz val="9.0"/>
      <color rgb="FF1F4E79"/>
      <name val="Calibri"/>
    </font>
    <font>
      <b/>
      <sz val="10.0"/>
      <color rgb="FF548235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C65911"/>
      <name val="Calibri"/>
    </font>
    <font>
      <b/>
      <sz val="10.0"/>
      <color rgb="FF2E75B6"/>
      <name val="Calibri"/>
    </font>
    <font>
      <b/>
      <sz val="10.0"/>
      <color rgb="FFC00000"/>
      <name val="Calibri"/>
    </font>
    <font>
      <b/>
      <sz val="10.0"/>
      <color rgb="FF7030A0"/>
      <name val="Calibri"/>
    </font>
    <font>
      <b/>
      <sz val="10.0"/>
      <color rgb="FFFFFFFF"/>
      <name val="Calibri"/>
    </font>
    <font>
      <b/>
      <sz val="10.0"/>
      <color rgb="FF0D7377"/>
      <name val="Calibri"/>
    </font>
    <font>
      <b/>
      <sz val="11.0"/>
      <color rgb="FF1F4E79"/>
      <name val="Calibri"/>
    </font>
    <font>
      <b/>
      <sz val="9.0"/>
      <color rgb="FFFFFFFF"/>
      <name val="Calibri"/>
    </font>
    <font>
      <b/>
      <sz val="10.0"/>
      <color rgb="FFBF8F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1" fillId="0" fontId="5" numFmtId="0" xfId="0" applyBorder="1" applyFont="1"/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6" numFmtId="165" xfId="0" applyAlignment="1" applyBorder="1" applyFill="1" applyFont="1" applyNumberFormat="1">
      <alignment horizontal="center" shrinkToFit="0" vertical="center" wrapText="1"/>
    </xf>
    <xf borderId="1" fillId="0" fontId="8" numFmtId="0" xfId="0" applyBorder="1" applyFont="1"/>
    <xf borderId="1" fillId="0" fontId="6" numFmtId="165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9" numFmtId="0" xfId="0" applyBorder="1" applyFont="1"/>
    <xf borderId="2" fillId="4" fontId="4" numFmtId="164" xfId="0" applyAlignment="1" applyBorder="1" applyFill="1" applyFont="1" applyNumberFormat="1">
      <alignment horizontal="center" shrinkToFit="0" vertical="center" wrapText="1"/>
    </xf>
    <xf borderId="1" fillId="0" fontId="10" numFmtId="0" xfId="0" applyBorder="1" applyFont="1"/>
    <xf borderId="1" fillId="0" fontId="11" numFmtId="0" xfId="0" applyBorder="1" applyFont="1"/>
    <xf borderId="1" fillId="2" fontId="12" numFmtId="0" xfId="0" applyBorder="1" applyFill="1" applyFont="1"/>
    <xf borderId="1" fillId="0" fontId="13" numFmtId="0" xfId="0" applyBorder="1" applyFont="1"/>
    <xf borderId="1" fillId="2" fontId="12" numFmtId="1" xfId="0" applyBorder="1" applyFill="1" applyFont="1" applyNumberFormat="1"/>
    <xf borderId="1" fillId="2" fontId="12" numFmtId="165" xfId="0" applyAlignment="1" applyBorder="1" applyFill="1" applyFont="1" applyNumberFormat="1">
      <alignment horizontal="center" shrinkToFit="0" vertical="center" wrapText="1"/>
    </xf>
    <xf borderId="1" fillId="2" fontId="12" numFmtId="165" xfId="0" applyBorder="1" applyFill="1" applyFont="1" applyNumberFormat="1"/>
    <xf borderId="0" fillId="0" fontId="14" numFmtId="0" xfId="0" applyFont="1"/>
    <xf borderId="2" fillId="2" fontId="15" numFmtId="0" xfId="0" applyAlignment="1" applyBorder="1" applyFill="1" applyFont="1">
      <alignment horizontal="center" shrinkToFit="0" vertical="center" wrapText="1"/>
    </xf>
    <xf borderId="2" fillId="2" fontId="15" numFmtId="164" xfId="0" applyAlignment="1" applyBorder="1" applyFill="1" applyFont="1" applyNumberFormat="1">
      <alignment horizontal="center" shrinkToFit="0" vertical="center" wrapText="1"/>
    </xf>
    <xf borderId="0" fillId="0" fontId="6" numFmtId="0" xfId="0" applyFont="1"/>
    <xf borderId="1" fillId="0" fontId="6" numFmtId="166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restantes —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(según tareas del día)</c:v>
          </c:tx>
          <c:spPr>
            <a:ln cmpd="sng" w="9525">
              <a:solidFill>
                <a:srgbClr val="1F4E79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1'!$C$29:$M$29</c:f>
            </c:strRef>
          </c:cat>
          <c:val>
            <c:numRef>
              <c:f>'Sprint 1'!$C$30:$M$30</c:f>
              <c:numCache/>
            </c:numRef>
          </c:val>
          <c:smooth val="1"/>
        </c:ser>
        <c:ser>
          <c:idx val="1"/>
          <c:order val="1"/>
          <c:tx>
            <c:v>Ideal (reparto parejo)</c:v>
          </c:tx>
          <c:spPr>
            <a:ln cmpd="sng" w="9525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1'!$C$29:$M$29</c:f>
            </c:strRef>
          </c:cat>
          <c:val>
            <c:numRef>
              <c:f>'Sprint 1'!$C$31:$M$31</c:f>
              <c:numCache/>
            </c:numRef>
          </c:val>
          <c:smooth val="1"/>
        </c:ser>
        <c:axId val="1130968956"/>
        <c:axId val="132803657"/>
      </c:lineChart>
      <c:catAx>
        <c:axId val="1130968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hábil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03657"/>
      </c:catAx>
      <c:valAx>
        <c:axId val="132803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9689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restantes —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(según tareas del día)</c:v>
          </c:tx>
          <c:spPr>
            <a:ln cmpd="sng" w="9525">
              <a:solidFill>
                <a:srgbClr val="1F4E79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2'!$C$21:$M$21</c:f>
            </c:strRef>
          </c:cat>
          <c:val>
            <c:numRef>
              <c:f>'Sprint 2'!$C$22:$M$22</c:f>
              <c:numCache/>
            </c:numRef>
          </c:val>
          <c:smooth val="1"/>
        </c:ser>
        <c:ser>
          <c:idx val="1"/>
          <c:order val="1"/>
          <c:tx>
            <c:v>Ideal (reparto parejo)</c:v>
          </c:tx>
          <c:spPr>
            <a:ln cmpd="sng" w="9525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2'!$C$21:$M$21</c:f>
            </c:strRef>
          </c:cat>
          <c:val>
            <c:numRef>
              <c:f>'Sprint 2'!$C$23:$M$23</c:f>
              <c:numCache/>
            </c:numRef>
          </c:val>
          <c:smooth val="1"/>
        </c:ser>
        <c:axId val="1912103367"/>
        <c:axId val="781347403"/>
      </c:lineChart>
      <c:catAx>
        <c:axId val="1912103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hábil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347403"/>
      </c:catAx>
      <c:valAx>
        <c:axId val="781347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1033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restantes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(según tareas del día)</c:v>
          </c:tx>
          <c:spPr>
            <a:ln cmpd="sng" w="9525">
              <a:solidFill>
                <a:srgbClr val="1F4E79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3'!$C$30:$M$30</c:f>
            </c:strRef>
          </c:cat>
          <c:val>
            <c:numRef>
              <c:f>'Sprint 3'!$C$31:$M$31</c:f>
              <c:numCache/>
            </c:numRef>
          </c:val>
          <c:smooth val="1"/>
        </c:ser>
        <c:ser>
          <c:idx val="1"/>
          <c:order val="1"/>
          <c:tx>
            <c:v>Ideal (reparto parejo)</c:v>
          </c:tx>
          <c:spPr>
            <a:ln cmpd="sng" w="9525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3'!$C$30:$M$30</c:f>
            </c:strRef>
          </c:cat>
          <c:val>
            <c:numRef>
              <c:f>'Sprint 3'!$C$32:$M$32</c:f>
              <c:numCache/>
            </c:numRef>
          </c:val>
          <c:smooth val="1"/>
        </c:ser>
        <c:axId val="1706177172"/>
        <c:axId val="430517354"/>
      </c:lineChart>
      <c:catAx>
        <c:axId val="1706177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hábil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517354"/>
      </c:catAx>
      <c:valAx>
        <c:axId val="430517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1771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restantes — Sprint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(según tareas del día)</c:v>
          </c:tx>
          <c:spPr>
            <a:ln cmpd="sng" w="9525">
              <a:solidFill>
                <a:srgbClr val="1F4E79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4'!$C$25:$M$25</c:f>
            </c:strRef>
          </c:cat>
          <c:val>
            <c:numRef>
              <c:f>'Sprint 4'!$C$26:$M$26</c:f>
              <c:numCache/>
            </c:numRef>
          </c:val>
          <c:smooth val="1"/>
        </c:ser>
        <c:ser>
          <c:idx val="1"/>
          <c:order val="1"/>
          <c:tx>
            <c:v>Ideal (reparto parejo)</c:v>
          </c:tx>
          <c:spPr>
            <a:ln cmpd="sng" w="9525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4'!$C$25:$M$25</c:f>
            </c:strRef>
          </c:cat>
          <c:val>
            <c:numRef>
              <c:f>'Sprint 4'!$C$27:$M$27</c:f>
              <c:numCache/>
            </c:numRef>
          </c:val>
          <c:smooth val="1"/>
        </c:ser>
        <c:axId val="719812016"/>
        <c:axId val="940863680"/>
      </c:lineChart>
      <c:catAx>
        <c:axId val="71981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hábil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863680"/>
      </c:catAx>
      <c:valAx>
        <c:axId val="940863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81201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Horas restantes — Sprint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 (según tareas del día)</c:v>
          </c:tx>
          <c:spPr>
            <a:ln cmpd="sng" w="9525">
              <a:solidFill>
                <a:srgbClr val="1F4E79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5'!$C$25:$M$25</c:f>
            </c:strRef>
          </c:cat>
          <c:val>
            <c:numRef>
              <c:f>'Sprint 5'!$C$26:$M$26</c:f>
              <c:numCache/>
            </c:numRef>
          </c:val>
          <c:smooth val="1"/>
        </c:ser>
        <c:ser>
          <c:idx val="1"/>
          <c:order val="1"/>
          <c:tx>
            <c:v>Ideal (reparto parejo)</c:v>
          </c:tx>
          <c:spPr>
            <a:ln cmpd="sng" w="9525">
              <a:solidFill>
                <a:srgbClr val="C6591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5'!$C$25:$M$25</c:f>
            </c:strRef>
          </c:cat>
          <c:val>
            <c:numRef>
              <c:f>'Sprint 5'!$C$27:$M$27</c:f>
              <c:numCache/>
            </c:numRef>
          </c:val>
          <c:smooth val="1"/>
        </c:ser>
        <c:axId val="808227932"/>
        <c:axId val="313058333"/>
      </c:lineChart>
      <c:catAx>
        <c:axId val="808227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hábil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058333"/>
      </c:catAx>
      <c:valAx>
        <c:axId val="31305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2279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6477000" cy="2876550"/>
    <xdr:graphicFrame>
      <xdr:nvGraphicFramePr>
        <xdr:cNvPr id="99003870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6477000" cy="2876550"/>
    <xdr:graphicFrame>
      <xdr:nvGraphicFramePr>
        <xdr:cNvPr id="58921508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6477000" cy="2876550"/>
    <xdr:graphicFrame>
      <xdr:nvGraphicFramePr>
        <xdr:cNvPr id="18786581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0</xdr:rowOff>
    </xdr:from>
    <xdr:ext cx="6477000" cy="2876550"/>
    <xdr:graphicFrame>
      <xdr:nvGraphicFramePr>
        <xdr:cNvPr id="184491420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28</xdr:row>
      <xdr:rowOff>0</xdr:rowOff>
    </xdr:from>
    <xdr:ext cx="6477000" cy="2876550"/>
    <xdr:graphicFrame>
      <xdr:nvGraphicFramePr>
        <xdr:cNvPr id="41064888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62.0"/>
    <col customWidth="1" min="3" max="3" width="12.0"/>
    <col customWidth="1" min="4" max="13" width="8.0"/>
    <col customWidth="1" min="14" max="14" width="10.0"/>
    <col customWidth="1" min="15" max="26" width="9.14"/>
  </cols>
  <sheetData>
    <row r="1" ht="24.0" customHeight="1">
      <c r="A1" s="1" t="s">
        <v>14</v>
      </c>
    </row>
    <row r="2">
      <c r="A2" s="2" t="s">
        <v>19</v>
      </c>
    </row>
    <row r="4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15</v>
      </c>
      <c r="L4" s="3" t="s">
        <v>16</v>
      </c>
      <c r="M4" s="3" t="s">
        <v>17</v>
      </c>
      <c r="N4" s="3" t="s">
        <v>18</v>
      </c>
    </row>
    <row r="5">
      <c r="D5" s="4">
        <v>46265.0</v>
      </c>
      <c r="E5" s="4">
        <v>46266.0</v>
      </c>
      <c r="F5" s="4">
        <v>46267.0</v>
      </c>
      <c r="G5" s="4">
        <v>46268.0</v>
      </c>
      <c r="H5" s="4">
        <v>46269.0</v>
      </c>
      <c r="I5" s="4">
        <v>46272.0</v>
      </c>
      <c r="J5" s="4">
        <v>46273.0</v>
      </c>
      <c r="K5" s="4">
        <v>46274.0</v>
      </c>
      <c r="L5" s="4">
        <v>46275.0</v>
      </c>
      <c r="M5" s="4">
        <v>46276.0</v>
      </c>
    </row>
    <row r="6" ht="18.0" customHeight="1">
      <c r="A6" s="12" t="s">
        <v>26</v>
      </c>
      <c r="B6" s="6" t="s">
        <v>33</v>
      </c>
      <c r="C6" s="7">
        <v>6.0</v>
      </c>
      <c r="D6" s="8">
        <v>6.0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f t="shared" ref="N6:N27" si="1">SUM(D6:M6)</f>
        <v>6</v>
      </c>
    </row>
    <row r="7" ht="18.0" customHeight="1">
      <c r="A7" s="12" t="s">
        <v>72</v>
      </c>
      <c r="B7" s="6" t="s">
        <v>73</v>
      </c>
      <c r="C7" s="7">
        <v>4.0</v>
      </c>
      <c r="D7" s="8">
        <v>2.0</v>
      </c>
      <c r="E7" s="8">
        <v>2.0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f t="shared" si="1"/>
        <v>4</v>
      </c>
    </row>
    <row r="8" ht="18.0" customHeight="1">
      <c r="A8" s="12" t="s">
        <v>85</v>
      </c>
      <c r="B8" s="6" t="s">
        <v>88</v>
      </c>
      <c r="C8" s="7">
        <v>6.0</v>
      </c>
      <c r="D8" s="10">
        <v>0.0</v>
      </c>
      <c r="E8" s="8">
        <v>6.0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>
        <f t="shared" si="1"/>
        <v>6</v>
      </c>
    </row>
    <row r="9" ht="18.0" customHeight="1">
      <c r="A9" s="12" t="s">
        <v>98</v>
      </c>
      <c r="B9" s="6" t="s">
        <v>99</v>
      </c>
      <c r="C9" s="7">
        <v>4.0</v>
      </c>
      <c r="D9" s="8">
        <v>4.0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1">
        <f t="shared" si="1"/>
        <v>4</v>
      </c>
    </row>
    <row r="10" ht="18.0" customHeight="1">
      <c r="A10" s="17" t="s">
        <v>103</v>
      </c>
      <c r="B10" s="6" t="s">
        <v>104</v>
      </c>
      <c r="C10" s="7">
        <v>5.0</v>
      </c>
      <c r="D10" s="10">
        <v>0.0</v>
      </c>
      <c r="E10" s="10">
        <v>0.0</v>
      </c>
      <c r="F10" s="8">
        <v>5.0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1">
        <f t="shared" si="1"/>
        <v>5</v>
      </c>
    </row>
    <row r="11" ht="18.0" customHeight="1">
      <c r="A11" s="17" t="s">
        <v>109</v>
      </c>
      <c r="B11" s="6" t="s">
        <v>110</v>
      </c>
      <c r="C11" s="7">
        <v>5.0</v>
      </c>
      <c r="D11" s="8">
        <v>5.0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1">
        <f t="shared" si="1"/>
        <v>5</v>
      </c>
    </row>
    <row r="12" ht="27.75" customHeight="1">
      <c r="A12" s="17" t="s">
        <v>115</v>
      </c>
      <c r="B12" s="6" t="s">
        <v>116</v>
      </c>
      <c r="C12" s="7">
        <v>4.0</v>
      </c>
      <c r="D12" s="8">
        <v>3.0</v>
      </c>
      <c r="E12" s="8">
        <v>1.0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1">
        <f t="shared" si="1"/>
        <v>4</v>
      </c>
    </row>
    <row r="13" ht="18.0" customHeight="1">
      <c r="A13" s="17" t="s">
        <v>125</v>
      </c>
      <c r="B13" s="6" t="s">
        <v>126</v>
      </c>
      <c r="C13" s="7">
        <v>4.0</v>
      </c>
      <c r="D13" s="8">
        <v>4.0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>
        <f t="shared" si="1"/>
        <v>4</v>
      </c>
    </row>
    <row r="14" ht="18.0" customHeight="1">
      <c r="A14" s="17" t="s">
        <v>130</v>
      </c>
      <c r="B14" s="6" t="s">
        <v>131</v>
      </c>
      <c r="C14" s="7">
        <v>6.0</v>
      </c>
      <c r="D14" s="10">
        <v>0.0</v>
      </c>
      <c r="E14" s="10">
        <v>0.0</v>
      </c>
      <c r="F14" s="8">
        <v>3.0</v>
      </c>
      <c r="G14" s="8">
        <v>3.0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1">
        <f t="shared" si="1"/>
        <v>6</v>
      </c>
    </row>
    <row r="15" ht="27.75" customHeight="1">
      <c r="A15" s="17" t="s">
        <v>135</v>
      </c>
      <c r="B15" s="6" t="s">
        <v>137</v>
      </c>
      <c r="C15" s="7">
        <v>7.0</v>
      </c>
      <c r="D15" s="10">
        <v>0.0</v>
      </c>
      <c r="E15" s="10">
        <v>0.0</v>
      </c>
      <c r="F15" s="10">
        <v>0.0</v>
      </c>
      <c r="G15" s="8">
        <v>5.0</v>
      </c>
      <c r="H15" s="8">
        <v>2.0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1">
        <f t="shared" si="1"/>
        <v>7</v>
      </c>
    </row>
    <row r="16" ht="18.0" customHeight="1">
      <c r="A16" s="17" t="s">
        <v>141</v>
      </c>
      <c r="B16" s="6" t="s">
        <v>142</v>
      </c>
      <c r="C16" s="7">
        <v>5.0</v>
      </c>
      <c r="D16" s="10">
        <v>0.0</v>
      </c>
      <c r="E16" s="10">
        <v>0.0</v>
      </c>
      <c r="F16" s="10">
        <v>0.0</v>
      </c>
      <c r="G16" s="10">
        <v>0.0</v>
      </c>
      <c r="H16" s="8">
        <v>5.0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1">
        <f t="shared" si="1"/>
        <v>5</v>
      </c>
    </row>
    <row r="17" ht="18.0" customHeight="1">
      <c r="A17" s="17" t="s">
        <v>146</v>
      </c>
      <c r="B17" s="6" t="s">
        <v>148</v>
      </c>
      <c r="C17" s="7">
        <v>4.0</v>
      </c>
      <c r="D17" s="10">
        <v>0.0</v>
      </c>
      <c r="E17" s="8">
        <v>4.0</v>
      </c>
      <c r="F17" s="10">
        <v>0.0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1">
        <f t="shared" si="1"/>
        <v>4</v>
      </c>
    </row>
    <row r="18" ht="18.0" customHeight="1">
      <c r="A18" s="17" t="s">
        <v>151</v>
      </c>
      <c r="B18" s="6" t="s">
        <v>152</v>
      </c>
      <c r="C18" s="7">
        <v>5.0</v>
      </c>
      <c r="D18" s="10">
        <v>0.0</v>
      </c>
      <c r="E18" s="10">
        <v>0.0</v>
      </c>
      <c r="F18" s="10">
        <v>0.0</v>
      </c>
      <c r="G18" s="10">
        <v>0.0</v>
      </c>
      <c r="H18" s="8">
        <v>1.0</v>
      </c>
      <c r="I18" s="8">
        <v>4.0</v>
      </c>
      <c r="J18" s="10">
        <v>0.0</v>
      </c>
      <c r="K18" s="10">
        <v>0.0</v>
      </c>
      <c r="L18" s="10">
        <v>0.0</v>
      </c>
      <c r="M18" s="10">
        <v>0.0</v>
      </c>
      <c r="N18" s="11">
        <f t="shared" si="1"/>
        <v>5</v>
      </c>
    </row>
    <row r="19" ht="18.0" customHeight="1">
      <c r="A19" s="17" t="s">
        <v>155</v>
      </c>
      <c r="B19" s="6" t="s">
        <v>156</v>
      </c>
      <c r="C19" s="7">
        <v>5.0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8">
        <v>4.0</v>
      </c>
      <c r="J19" s="8">
        <v>1.0</v>
      </c>
      <c r="K19" s="10">
        <v>0.0</v>
      </c>
      <c r="L19" s="10">
        <v>0.0</v>
      </c>
      <c r="M19" s="10">
        <v>0.0</v>
      </c>
      <c r="N19" s="11">
        <f t="shared" si="1"/>
        <v>5</v>
      </c>
    </row>
    <row r="20" ht="27.75" customHeight="1">
      <c r="A20" s="17" t="s">
        <v>157</v>
      </c>
      <c r="B20" s="6" t="s">
        <v>158</v>
      </c>
      <c r="C20" s="7">
        <v>5.0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8">
        <v>5.0</v>
      </c>
      <c r="K20" s="10">
        <v>0.0</v>
      </c>
      <c r="L20" s="10">
        <v>0.0</v>
      </c>
      <c r="M20" s="10">
        <v>0.0</v>
      </c>
      <c r="N20" s="11">
        <f t="shared" si="1"/>
        <v>5</v>
      </c>
    </row>
    <row r="21" ht="18.0" customHeight="1">
      <c r="A21" s="17" t="s">
        <v>159</v>
      </c>
      <c r="B21" s="6" t="s">
        <v>160</v>
      </c>
      <c r="C21" s="7">
        <v>4.0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8">
        <v>2.0</v>
      </c>
      <c r="K21" s="8">
        <v>2.0</v>
      </c>
      <c r="L21" s="10">
        <v>0.0</v>
      </c>
      <c r="M21" s="10">
        <v>0.0</v>
      </c>
      <c r="N21" s="11">
        <f t="shared" si="1"/>
        <v>4</v>
      </c>
    </row>
    <row r="22" ht="18.0" customHeight="1">
      <c r="A22" s="17" t="s">
        <v>161</v>
      </c>
      <c r="B22" s="6" t="s">
        <v>162</v>
      </c>
      <c r="C22" s="7">
        <v>4.0</v>
      </c>
      <c r="D22" s="10">
        <v>0.0</v>
      </c>
      <c r="E22" s="8">
        <v>4.0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1">
        <f t="shared" si="1"/>
        <v>4</v>
      </c>
    </row>
    <row r="23" ht="18.0" customHeight="1">
      <c r="A23" s="17" t="s">
        <v>163</v>
      </c>
      <c r="B23" s="6" t="s">
        <v>164</v>
      </c>
      <c r="C23" s="7">
        <v>5.0</v>
      </c>
      <c r="D23" s="10">
        <v>0.0</v>
      </c>
      <c r="E23" s="8">
        <v>5.0</v>
      </c>
      <c r="F23" s="10">
        <v>0.0</v>
      </c>
      <c r="G23" s="10">
        <v>0.0</v>
      </c>
      <c r="H23" s="10">
        <v>0.0</v>
      </c>
      <c r="I23" s="10">
        <v>0.0</v>
      </c>
      <c r="J23" s="10">
        <v>0.0</v>
      </c>
      <c r="K23" s="10">
        <v>0.0</v>
      </c>
      <c r="L23" s="10">
        <v>0.0</v>
      </c>
      <c r="M23" s="10">
        <v>0.0</v>
      </c>
      <c r="N23" s="11">
        <f t="shared" si="1"/>
        <v>5</v>
      </c>
    </row>
    <row r="24" ht="18.0" customHeight="1">
      <c r="A24" s="17" t="s">
        <v>165</v>
      </c>
      <c r="B24" s="6" t="s">
        <v>166</v>
      </c>
      <c r="C24" s="7">
        <v>6.0</v>
      </c>
      <c r="D24" s="10">
        <v>0.0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8">
        <v>6.0</v>
      </c>
      <c r="L24" s="10">
        <v>0.0</v>
      </c>
      <c r="M24" s="10">
        <v>0.0</v>
      </c>
      <c r="N24" s="11">
        <f t="shared" si="1"/>
        <v>6</v>
      </c>
    </row>
    <row r="25" ht="27.75" customHeight="1">
      <c r="A25" s="17" t="s">
        <v>167</v>
      </c>
      <c r="B25" s="6" t="s">
        <v>168</v>
      </c>
      <c r="C25" s="7">
        <v>7.0</v>
      </c>
      <c r="D25" s="10">
        <v>0.0</v>
      </c>
      <c r="E25" s="10">
        <v>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8">
        <v>7.0</v>
      </c>
      <c r="M25" s="10">
        <v>0.0</v>
      </c>
      <c r="N25" s="11">
        <f t="shared" si="1"/>
        <v>7</v>
      </c>
    </row>
    <row r="26" ht="18.0" customHeight="1">
      <c r="A26" s="17" t="s">
        <v>169</v>
      </c>
      <c r="B26" s="6" t="s">
        <v>170</v>
      </c>
      <c r="C26" s="7">
        <v>4.0</v>
      </c>
      <c r="D26" s="10">
        <v>0.0</v>
      </c>
      <c r="E26" s="10">
        <v>0.0</v>
      </c>
      <c r="F26" s="8">
        <v>4.0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1">
        <f t="shared" si="1"/>
        <v>4</v>
      </c>
    </row>
    <row r="27" ht="15.75" customHeight="1">
      <c r="A27" s="16"/>
      <c r="B27" s="16" t="s">
        <v>100</v>
      </c>
      <c r="C27" s="18">
        <f t="shared" ref="C27:M27" si="2">SUM(C6:C26)</f>
        <v>105</v>
      </c>
      <c r="D27" s="19">
        <f t="shared" si="2"/>
        <v>24</v>
      </c>
      <c r="E27" s="19">
        <f t="shared" si="2"/>
        <v>22</v>
      </c>
      <c r="F27" s="19">
        <f t="shared" si="2"/>
        <v>12</v>
      </c>
      <c r="G27" s="19">
        <f t="shared" si="2"/>
        <v>8</v>
      </c>
      <c r="H27" s="19">
        <f t="shared" si="2"/>
        <v>8</v>
      </c>
      <c r="I27" s="19">
        <f t="shared" si="2"/>
        <v>8</v>
      </c>
      <c r="J27" s="19">
        <f t="shared" si="2"/>
        <v>8</v>
      </c>
      <c r="K27" s="19">
        <f t="shared" si="2"/>
        <v>8</v>
      </c>
      <c r="L27" s="19">
        <f t="shared" si="2"/>
        <v>7</v>
      </c>
      <c r="M27" s="19">
        <f t="shared" si="2"/>
        <v>0</v>
      </c>
      <c r="N27" s="20">
        <f t="shared" si="1"/>
        <v>105</v>
      </c>
    </row>
    <row r="28" ht="15.75" customHeight="1"/>
    <row r="29" ht="15.75" customHeight="1">
      <c r="B29" s="21" t="s">
        <v>119</v>
      </c>
      <c r="C29" s="22" t="s">
        <v>121</v>
      </c>
      <c r="D29" s="23">
        <v>46265.0</v>
      </c>
      <c r="E29" s="23">
        <v>46266.0</v>
      </c>
      <c r="F29" s="23">
        <v>46267.0</v>
      </c>
      <c r="G29" s="23">
        <v>46268.0</v>
      </c>
      <c r="H29" s="23">
        <v>46269.0</v>
      </c>
      <c r="I29" s="23">
        <v>46272.0</v>
      </c>
      <c r="J29" s="23">
        <v>46273.0</v>
      </c>
      <c r="K29" s="23">
        <v>46274.0</v>
      </c>
      <c r="L29" s="23">
        <v>46275.0</v>
      </c>
      <c r="M29" s="23">
        <v>46276.0</v>
      </c>
    </row>
    <row r="30" ht="15.75" customHeight="1">
      <c r="B30" s="24" t="s">
        <v>128</v>
      </c>
      <c r="C30" s="25">
        <f>C27</f>
        <v>105</v>
      </c>
      <c r="D30" s="25">
        <f t="shared" ref="D30:M30" si="3">C30-D27</f>
        <v>81</v>
      </c>
      <c r="E30" s="25">
        <f t="shared" si="3"/>
        <v>59</v>
      </c>
      <c r="F30" s="25">
        <f t="shared" si="3"/>
        <v>47</v>
      </c>
      <c r="G30" s="25">
        <f t="shared" si="3"/>
        <v>39</v>
      </c>
      <c r="H30" s="25">
        <f t="shared" si="3"/>
        <v>31</v>
      </c>
      <c r="I30" s="25">
        <f t="shared" si="3"/>
        <v>23</v>
      </c>
      <c r="J30" s="25">
        <f t="shared" si="3"/>
        <v>15</v>
      </c>
      <c r="K30" s="25">
        <f t="shared" si="3"/>
        <v>7</v>
      </c>
      <c r="L30" s="25">
        <f t="shared" si="3"/>
        <v>0</v>
      </c>
      <c r="M30" s="25">
        <f t="shared" si="3"/>
        <v>0</v>
      </c>
    </row>
    <row r="31" ht="15.75" customHeight="1">
      <c r="B31" s="24" t="s">
        <v>140</v>
      </c>
      <c r="C31" s="25">
        <f>C27</f>
        <v>105</v>
      </c>
      <c r="D31" s="25">
        <f>$C$27*(10-1)/10</f>
        <v>94.5</v>
      </c>
      <c r="E31" s="25">
        <f>$C$27*(10-2)/10</f>
        <v>84</v>
      </c>
      <c r="F31" s="25">
        <f>$C$27*(10-3)/10</f>
        <v>73.5</v>
      </c>
      <c r="G31" s="25">
        <f>$C$27*(10-4)/10</f>
        <v>63</v>
      </c>
      <c r="H31" s="25">
        <f>$C$27*(10-5)/10</f>
        <v>52.5</v>
      </c>
      <c r="I31" s="25">
        <f>$C$27*(10-6)/10</f>
        <v>42</v>
      </c>
      <c r="J31" s="25">
        <f>$C$27*(10-7)/10</f>
        <v>31.5</v>
      </c>
      <c r="K31" s="25">
        <f>$C$27*(10-8)/10</f>
        <v>21</v>
      </c>
      <c r="L31" s="25">
        <f>$C$27*(10-9)/10</f>
        <v>10.5</v>
      </c>
      <c r="M31" s="25">
        <f>$C$27*(10-10)/10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4" right="0.4" top="1.0"/>
  <pageSetup paperSize="3" orientation="landscape"/>
  <headerFooter>
    <oddFooter>&amp;LHaircut Home Studio — Burndown Sprint 1&amp;RHoras del PDF Tareas x HU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62.0"/>
    <col customWidth="1" min="3" max="3" width="12.0"/>
    <col customWidth="1" min="4" max="13" width="8.0"/>
    <col customWidth="1" min="14" max="14" width="10.0"/>
    <col customWidth="1" min="15" max="26" width="9.14"/>
  </cols>
  <sheetData>
    <row r="1" ht="24.0" customHeight="1">
      <c r="A1" s="1" t="s">
        <v>24</v>
      </c>
    </row>
    <row r="2">
      <c r="A2" s="2" t="s">
        <v>30</v>
      </c>
    </row>
    <row r="4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15</v>
      </c>
      <c r="L4" s="3" t="s">
        <v>16</v>
      </c>
      <c r="M4" s="3" t="s">
        <v>17</v>
      </c>
      <c r="N4" s="3" t="s">
        <v>18</v>
      </c>
    </row>
    <row r="5">
      <c r="D5" s="4">
        <v>46279.0</v>
      </c>
      <c r="E5" s="4">
        <v>46280.0</v>
      </c>
      <c r="F5" s="4">
        <v>46281.0</v>
      </c>
      <c r="G5" s="4">
        <v>46282.0</v>
      </c>
      <c r="H5" s="13">
        <v>46283.0</v>
      </c>
      <c r="I5" s="4">
        <v>46286.0</v>
      </c>
      <c r="J5" s="4">
        <v>46287.0</v>
      </c>
      <c r="K5" s="4">
        <v>46288.0</v>
      </c>
      <c r="L5" s="4">
        <v>46289.0</v>
      </c>
      <c r="M5" s="4">
        <v>46290.0</v>
      </c>
    </row>
    <row r="6" ht="27.75" customHeight="1">
      <c r="A6" s="12" t="s">
        <v>59</v>
      </c>
      <c r="B6" s="6" t="s">
        <v>62</v>
      </c>
      <c r="C6" s="7">
        <v>8.0</v>
      </c>
      <c r="D6" s="8">
        <v>8.0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f t="shared" ref="N6:N19" si="1">SUM(D6:M6)</f>
        <v>8</v>
      </c>
    </row>
    <row r="7" ht="27.75" customHeight="1">
      <c r="A7" s="12" t="s">
        <v>91</v>
      </c>
      <c r="B7" s="6" t="s">
        <v>93</v>
      </c>
      <c r="C7" s="7">
        <v>8.0</v>
      </c>
      <c r="D7" s="10">
        <v>0.0</v>
      </c>
      <c r="E7" s="8">
        <v>8.0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f t="shared" si="1"/>
        <v>8</v>
      </c>
    </row>
    <row r="8" ht="27.75" customHeight="1">
      <c r="A8" s="12" t="s">
        <v>107</v>
      </c>
      <c r="B8" s="6" t="s">
        <v>108</v>
      </c>
      <c r="C8" s="7">
        <v>8.0</v>
      </c>
      <c r="D8" s="10">
        <v>0.0</v>
      </c>
      <c r="E8" s="10">
        <v>0.0</v>
      </c>
      <c r="F8" s="8">
        <v>8.0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>
        <f t="shared" si="1"/>
        <v>8</v>
      </c>
    </row>
    <row r="9" ht="18.0" customHeight="1">
      <c r="A9" s="12" t="s">
        <v>113</v>
      </c>
      <c r="B9" s="6" t="s">
        <v>114</v>
      </c>
      <c r="C9" s="7">
        <v>8.0</v>
      </c>
      <c r="D9" s="8">
        <v>8.0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1">
        <f t="shared" si="1"/>
        <v>8</v>
      </c>
    </row>
    <row r="10" ht="27.75" customHeight="1">
      <c r="A10" s="12" t="s">
        <v>120</v>
      </c>
      <c r="B10" s="6" t="s">
        <v>122</v>
      </c>
      <c r="C10" s="7">
        <v>7.0</v>
      </c>
      <c r="D10" s="10">
        <v>0.0</v>
      </c>
      <c r="E10" s="8">
        <v>7.0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1">
        <f t="shared" si="1"/>
        <v>7</v>
      </c>
    </row>
    <row r="11" ht="18.0" customHeight="1">
      <c r="A11" s="12" t="s">
        <v>127</v>
      </c>
      <c r="B11" s="6" t="s">
        <v>129</v>
      </c>
      <c r="C11" s="7">
        <v>5.0</v>
      </c>
      <c r="D11" s="10">
        <v>0.0</v>
      </c>
      <c r="E11" s="8">
        <v>1.0</v>
      </c>
      <c r="F11" s="8">
        <v>4.0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1">
        <f t="shared" si="1"/>
        <v>5</v>
      </c>
    </row>
    <row r="12" ht="18.0" customHeight="1">
      <c r="A12" s="15" t="s">
        <v>132</v>
      </c>
      <c r="B12" s="6" t="s">
        <v>133</v>
      </c>
      <c r="C12" s="7">
        <v>5.0</v>
      </c>
      <c r="D12" s="10">
        <v>0.0</v>
      </c>
      <c r="E12" s="10">
        <v>0.0</v>
      </c>
      <c r="F12" s="10">
        <v>0.0</v>
      </c>
      <c r="G12" s="8">
        <v>5.0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1">
        <f t="shared" si="1"/>
        <v>5</v>
      </c>
    </row>
    <row r="13" ht="18.0" customHeight="1">
      <c r="A13" s="15" t="s">
        <v>134</v>
      </c>
      <c r="B13" s="6" t="s">
        <v>136</v>
      </c>
      <c r="C13" s="7">
        <v>5.0</v>
      </c>
      <c r="D13" s="10">
        <v>0.0</v>
      </c>
      <c r="E13" s="10">
        <v>0.0</v>
      </c>
      <c r="F13" s="8">
        <v>4.0</v>
      </c>
      <c r="G13" s="8">
        <v>1.0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>
        <f t="shared" si="1"/>
        <v>5</v>
      </c>
    </row>
    <row r="14" ht="18.0" customHeight="1">
      <c r="A14" s="15" t="s">
        <v>138</v>
      </c>
      <c r="B14" s="6" t="s">
        <v>139</v>
      </c>
      <c r="C14" s="7">
        <v>4.0</v>
      </c>
      <c r="D14" s="8">
        <v>4.0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1">
        <f t="shared" si="1"/>
        <v>4</v>
      </c>
    </row>
    <row r="15" ht="18.0" customHeight="1">
      <c r="A15" s="15" t="s">
        <v>143</v>
      </c>
      <c r="B15" s="6" t="s">
        <v>144</v>
      </c>
      <c r="C15" s="7">
        <v>6.0</v>
      </c>
      <c r="D15" s="10">
        <v>0.0</v>
      </c>
      <c r="E15" s="10">
        <v>0.0</v>
      </c>
      <c r="F15" s="10">
        <v>0.0</v>
      </c>
      <c r="G15" s="8">
        <v>3.0</v>
      </c>
      <c r="H15" s="8">
        <v>3.0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1">
        <f t="shared" si="1"/>
        <v>6</v>
      </c>
    </row>
    <row r="16" ht="18.0" customHeight="1">
      <c r="A16" s="15" t="s">
        <v>145</v>
      </c>
      <c r="B16" s="6" t="s">
        <v>147</v>
      </c>
      <c r="C16" s="7">
        <v>5.0</v>
      </c>
      <c r="D16" s="10">
        <v>0.0</v>
      </c>
      <c r="E16" s="10">
        <v>0.0</v>
      </c>
      <c r="F16" s="10">
        <v>0.0</v>
      </c>
      <c r="G16" s="8">
        <v>5.0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1">
        <f t="shared" si="1"/>
        <v>5</v>
      </c>
    </row>
    <row r="17" ht="18.0" customHeight="1">
      <c r="A17" s="15" t="s">
        <v>149</v>
      </c>
      <c r="B17" s="6" t="s">
        <v>150</v>
      </c>
      <c r="C17" s="7">
        <v>4.0</v>
      </c>
      <c r="D17" s="10">
        <v>0.0</v>
      </c>
      <c r="E17" s="10">
        <v>0.0</v>
      </c>
      <c r="F17" s="10">
        <v>0.0</v>
      </c>
      <c r="G17" s="10">
        <v>0.0</v>
      </c>
      <c r="H17" s="8">
        <v>4.0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1">
        <f t="shared" si="1"/>
        <v>4</v>
      </c>
    </row>
    <row r="18" ht="27.75" customHeight="1">
      <c r="A18" s="15" t="s">
        <v>153</v>
      </c>
      <c r="B18" s="6" t="s">
        <v>154</v>
      </c>
      <c r="C18" s="7">
        <v>4.0</v>
      </c>
      <c r="D18" s="8">
        <v>4.0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1">
        <f t="shared" si="1"/>
        <v>4</v>
      </c>
    </row>
    <row r="19">
      <c r="A19" s="16"/>
      <c r="B19" s="16" t="s">
        <v>100</v>
      </c>
      <c r="C19" s="18">
        <f t="shared" ref="C19:M19" si="2">SUM(C6:C18)</f>
        <v>77</v>
      </c>
      <c r="D19" s="19">
        <f t="shared" si="2"/>
        <v>24</v>
      </c>
      <c r="E19" s="19">
        <f t="shared" si="2"/>
        <v>16</v>
      </c>
      <c r="F19" s="19">
        <f t="shared" si="2"/>
        <v>16</v>
      </c>
      <c r="G19" s="19">
        <f t="shared" si="2"/>
        <v>14</v>
      </c>
      <c r="H19" s="19">
        <f t="shared" si="2"/>
        <v>7</v>
      </c>
      <c r="I19" s="19">
        <f t="shared" si="2"/>
        <v>0</v>
      </c>
      <c r="J19" s="19">
        <f t="shared" si="2"/>
        <v>0</v>
      </c>
      <c r="K19" s="19">
        <f t="shared" si="2"/>
        <v>0</v>
      </c>
      <c r="L19" s="19">
        <f t="shared" si="2"/>
        <v>0</v>
      </c>
      <c r="M19" s="19">
        <f t="shared" si="2"/>
        <v>0</v>
      </c>
      <c r="N19" s="20">
        <f t="shared" si="1"/>
        <v>77</v>
      </c>
    </row>
    <row r="21" ht="15.75" customHeight="1">
      <c r="B21" s="21" t="s">
        <v>119</v>
      </c>
      <c r="C21" s="22" t="s">
        <v>121</v>
      </c>
      <c r="D21" s="23">
        <v>46279.0</v>
      </c>
      <c r="E21" s="23">
        <v>46280.0</v>
      </c>
      <c r="F21" s="23">
        <v>46281.0</v>
      </c>
      <c r="G21" s="23">
        <v>46282.0</v>
      </c>
      <c r="H21" s="23">
        <v>46283.0</v>
      </c>
      <c r="I21" s="23">
        <v>46286.0</v>
      </c>
      <c r="J21" s="23">
        <v>46287.0</v>
      </c>
      <c r="K21" s="23">
        <v>46288.0</v>
      </c>
      <c r="L21" s="23">
        <v>46289.0</v>
      </c>
      <c r="M21" s="23">
        <v>46290.0</v>
      </c>
    </row>
    <row r="22" ht="15.75" customHeight="1">
      <c r="B22" s="24" t="s">
        <v>128</v>
      </c>
      <c r="C22" s="25">
        <f>C19</f>
        <v>77</v>
      </c>
      <c r="D22" s="25">
        <f t="shared" ref="D22:M22" si="3">C22-D19</f>
        <v>53</v>
      </c>
      <c r="E22" s="25">
        <f t="shared" si="3"/>
        <v>37</v>
      </c>
      <c r="F22" s="25">
        <f t="shared" si="3"/>
        <v>21</v>
      </c>
      <c r="G22" s="25">
        <f t="shared" si="3"/>
        <v>7</v>
      </c>
      <c r="H22" s="25">
        <f t="shared" si="3"/>
        <v>0</v>
      </c>
      <c r="I22" s="25">
        <f t="shared" si="3"/>
        <v>0</v>
      </c>
      <c r="J22" s="25">
        <f t="shared" si="3"/>
        <v>0</v>
      </c>
      <c r="K22" s="25">
        <f t="shared" si="3"/>
        <v>0</v>
      </c>
      <c r="L22" s="25">
        <f t="shared" si="3"/>
        <v>0</v>
      </c>
      <c r="M22" s="25">
        <f t="shared" si="3"/>
        <v>0</v>
      </c>
    </row>
    <row r="23" ht="15.75" customHeight="1">
      <c r="B23" s="24" t="s">
        <v>140</v>
      </c>
      <c r="C23" s="25">
        <f>C19</f>
        <v>77</v>
      </c>
      <c r="D23" s="25">
        <f>$C$19*(10-1)/10</f>
        <v>69.3</v>
      </c>
      <c r="E23" s="25">
        <f>$C$19*(10-2)/10</f>
        <v>61.6</v>
      </c>
      <c r="F23" s="25">
        <f>$C$19*(10-3)/10</f>
        <v>53.9</v>
      </c>
      <c r="G23" s="25">
        <f>$C$19*(10-4)/10</f>
        <v>46.2</v>
      </c>
      <c r="H23" s="25">
        <f>$C$19*(10-5)/10</f>
        <v>38.5</v>
      </c>
      <c r="I23" s="25">
        <f>$C$19*(10-6)/10</f>
        <v>30.8</v>
      </c>
      <c r="J23" s="25">
        <f>$C$19*(10-7)/10</f>
        <v>23.1</v>
      </c>
      <c r="K23" s="25">
        <f>$C$19*(10-8)/10</f>
        <v>15.4</v>
      </c>
      <c r="L23" s="25">
        <f>$C$19*(10-9)/10</f>
        <v>7.7</v>
      </c>
      <c r="M23" s="25">
        <f>$C$19*(10-10)/10</f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4" right="0.4" top="1.0"/>
  <pageSetup paperSize="3" orientation="landscape"/>
  <headerFooter>
    <oddFooter>&amp;LHaircut Home Studio — Burndown Sprint 2&amp;RHoras del PDF Tareas x HU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62.0"/>
    <col customWidth="1" min="3" max="3" width="12.0"/>
    <col customWidth="1" min="4" max="13" width="8.0"/>
    <col customWidth="1" min="14" max="14" width="10.0"/>
    <col customWidth="1" min="15" max="26" width="9.14"/>
  </cols>
  <sheetData>
    <row r="1" ht="24.0" customHeight="1">
      <c r="A1" s="1" t="s">
        <v>0</v>
      </c>
    </row>
    <row r="2">
      <c r="A2" s="2" t="s">
        <v>2</v>
      </c>
    </row>
    <row r="4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15</v>
      </c>
      <c r="L4" s="3" t="s">
        <v>16</v>
      </c>
      <c r="M4" s="3" t="s">
        <v>17</v>
      </c>
      <c r="N4" s="3" t="s">
        <v>18</v>
      </c>
    </row>
    <row r="5">
      <c r="D5" s="4">
        <v>46293.0</v>
      </c>
      <c r="E5" s="4">
        <v>46294.0</v>
      </c>
      <c r="F5" s="4">
        <v>46295.0</v>
      </c>
      <c r="G5" s="4">
        <v>46296.0</v>
      </c>
      <c r="H5" s="4">
        <v>46297.0</v>
      </c>
      <c r="I5" s="4">
        <v>46300.0</v>
      </c>
      <c r="J5" s="4">
        <v>46301.0</v>
      </c>
      <c r="K5" s="4">
        <v>46302.0</v>
      </c>
      <c r="L5" s="4">
        <v>46303.0</v>
      </c>
      <c r="M5" s="4">
        <v>46304.0</v>
      </c>
    </row>
    <row r="6" ht="27.75" customHeight="1">
      <c r="A6" s="5" t="s">
        <v>20</v>
      </c>
      <c r="B6" s="6" t="s">
        <v>21</v>
      </c>
      <c r="C6" s="7">
        <v>5.0</v>
      </c>
      <c r="D6" s="8">
        <v>5.0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f t="shared" ref="N6:N28" si="1">SUM(D6:M6)</f>
        <v>5</v>
      </c>
    </row>
    <row r="7" ht="18.0" customHeight="1">
      <c r="A7" s="5" t="s">
        <v>25</v>
      </c>
      <c r="B7" s="6" t="s">
        <v>27</v>
      </c>
      <c r="C7" s="7">
        <v>5.0</v>
      </c>
      <c r="D7" s="8">
        <v>5.0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f t="shared" si="1"/>
        <v>5</v>
      </c>
    </row>
    <row r="8" ht="18.0" customHeight="1">
      <c r="A8" s="5" t="s">
        <v>31</v>
      </c>
      <c r="B8" s="6" t="s">
        <v>32</v>
      </c>
      <c r="C8" s="7">
        <v>7.0</v>
      </c>
      <c r="D8" s="8">
        <v>3.0</v>
      </c>
      <c r="E8" s="8">
        <v>4.0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>
        <f t="shared" si="1"/>
        <v>7</v>
      </c>
    </row>
    <row r="9" ht="18.0" customHeight="1">
      <c r="A9" s="5" t="s">
        <v>34</v>
      </c>
      <c r="B9" s="6" t="s">
        <v>36</v>
      </c>
      <c r="C9" s="7">
        <v>4.0</v>
      </c>
      <c r="D9" s="8">
        <v>4.0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1">
        <f t="shared" si="1"/>
        <v>4</v>
      </c>
    </row>
    <row r="10" ht="18.0" customHeight="1">
      <c r="A10" s="5" t="s">
        <v>38</v>
      </c>
      <c r="B10" s="6" t="s">
        <v>39</v>
      </c>
      <c r="C10" s="7">
        <v>4.0</v>
      </c>
      <c r="D10" s="8">
        <v>3.0</v>
      </c>
      <c r="E10" s="8">
        <v>1.0</v>
      </c>
      <c r="F10" s="10">
        <v>0.0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1">
        <f t="shared" si="1"/>
        <v>4</v>
      </c>
    </row>
    <row r="11" ht="27.75" customHeight="1">
      <c r="A11" s="5" t="s">
        <v>42</v>
      </c>
      <c r="B11" s="6" t="s">
        <v>43</v>
      </c>
      <c r="C11" s="7">
        <v>4.0</v>
      </c>
      <c r="D11" s="10">
        <v>0.0</v>
      </c>
      <c r="E11" s="8">
        <v>4.0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1">
        <f t="shared" si="1"/>
        <v>4</v>
      </c>
    </row>
    <row r="12" ht="27.75" customHeight="1">
      <c r="A12" s="5" t="s">
        <v>44</v>
      </c>
      <c r="B12" s="6" t="s">
        <v>45</v>
      </c>
      <c r="C12" s="7">
        <v>4.0</v>
      </c>
      <c r="D12" s="10">
        <v>0.0</v>
      </c>
      <c r="E12" s="10">
        <v>0.0</v>
      </c>
      <c r="F12" s="8">
        <v>4.0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1">
        <f t="shared" si="1"/>
        <v>4</v>
      </c>
    </row>
    <row r="13" ht="18.0" customHeight="1">
      <c r="A13" s="5" t="s">
        <v>48</v>
      </c>
      <c r="B13" s="6" t="s">
        <v>49</v>
      </c>
      <c r="C13" s="7">
        <v>3.0</v>
      </c>
      <c r="D13" s="10">
        <v>0.0</v>
      </c>
      <c r="E13" s="8">
        <v>3.0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>
        <f t="shared" si="1"/>
        <v>3</v>
      </c>
    </row>
    <row r="14" ht="27.75" customHeight="1">
      <c r="A14" s="5" t="s">
        <v>50</v>
      </c>
      <c r="B14" s="6" t="s">
        <v>52</v>
      </c>
      <c r="C14" s="7">
        <v>4.0</v>
      </c>
      <c r="D14" s="10">
        <v>0.0</v>
      </c>
      <c r="E14" s="10">
        <v>0.0</v>
      </c>
      <c r="F14" s="8">
        <v>4.0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1">
        <f t="shared" si="1"/>
        <v>4</v>
      </c>
    </row>
    <row r="15" ht="18.0" customHeight="1">
      <c r="A15" s="5" t="s">
        <v>53</v>
      </c>
      <c r="B15" s="6" t="s">
        <v>54</v>
      </c>
      <c r="C15" s="7">
        <v>5.0</v>
      </c>
      <c r="D15" s="10">
        <v>0.0</v>
      </c>
      <c r="E15" s="10">
        <v>0.0</v>
      </c>
      <c r="F15" s="10">
        <v>0.0</v>
      </c>
      <c r="G15" s="8">
        <v>5.0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1">
        <f t="shared" si="1"/>
        <v>5</v>
      </c>
    </row>
    <row r="16" ht="18.0" customHeight="1">
      <c r="A16" s="5" t="s">
        <v>57</v>
      </c>
      <c r="B16" s="6" t="s">
        <v>58</v>
      </c>
      <c r="C16" s="7">
        <v>4.0</v>
      </c>
      <c r="D16" s="8">
        <v>4.0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1">
        <f t="shared" si="1"/>
        <v>4</v>
      </c>
    </row>
    <row r="17" ht="18.0" customHeight="1">
      <c r="A17" s="5" t="s">
        <v>60</v>
      </c>
      <c r="B17" s="6" t="s">
        <v>61</v>
      </c>
      <c r="C17" s="7">
        <v>4.0</v>
      </c>
      <c r="D17" s="10">
        <v>0.0</v>
      </c>
      <c r="E17" s="10">
        <v>0.0</v>
      </c>
      <c r="F17" s="10">
        <v>0.0</v>
      </c>
      <c r="G17" s="8">
        <v>3.0</v>
      </c>
      <c r="H17" s="8">
        <v>1.0</v>
      </c>
      <c r="I17" s="10">
        <v>0.0</v>
      </c>
      <c r="J17" s="10">
        <v>0.0</v>
      </c>
      <c r="K17" s="10">
        <v>0.0</v>
      </c>
      <c r="L17" s="10">
        <v>0.0</v>
      </c>
      <c r="M17" s="10">
        <v>0.0</v>
      </c>
      <c r="N17" s="11">
        <f t="shared" si="1"/>
        <v>4</v>
      </c>
    </row>
    <row r="18" ht="18.0" customHeight="1">
      <c r="A18" s="5" t="s">
        <v>65</v>
      </c>
      <c r="B18" s="6" t="s">
        <v>66</v>
      </c>
      <c r="C18" s="7">
        <v>4.0</v>
      </c>
      <c r="D18" s="10">
        <v>0.0</v>
      </c>
      <c r="E18" s="8">
        <v>4.0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1">
        <f t="shared" si="1"/>
        <v>4</v>
      </c>
    </row>
    <row r="19" ht="18.0" customHeight="1">
      <c r="A19" s="5" t="s">
        <v>67</v>
      </c>
      <c r="B19" s="6" t="s">
        <v>68</v>
      </c>
      <c r="C19" s="7">
        <v>3.0</v>
      </c>
      <c r="D19" s="10">
        <v>0.0</v>
      </c>
      <c r="E19" s="8">
        <v>3.0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1">
        <f t="shared" si="1"/>
        <v>3</v>
      </c>
    </row>
    <row r="20" ht="18.0" customHeight="1">
      <c r="A20" s="5" t="s">
        <v>69</v>
      </c>
      <c r="B20" s="6" t="s">
        <v>71</v>
      </c>
      <c r="C20" s="7">
        <v>5.0</v>
      </c>
      <c r="D20" s="10">
        <v>0.0</v>
      </c>
      <c r="E20" s="10">
        <v>0.0</v>
      </c>
      <c r="F20" s="8">
        <v>5.0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1">
        <f t="shared" si="1"/>
        <v>5</v>
      </c>
    </row>
    <row r="21" ht="18.0" customHeight="1">
      <c r="A21" s="5" t="s">
        <v>74</v>
      </c>
      <c r="B21" s="6" t="s">
        <v>75</v>
      </c>
      <c r="C21" s="7">
        <v>4.0</v>
      </c>
      <c r="D21" s="10">
        <v>0.0</v>
      </c>
      <c r="E21" s="10">
        <v>0.0</v>
      </c>
      <c r="F21" s="8">
        <v>3.0</v>
      </c>
      <c r="G21" s="8">
        <v>1.0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1">
        <f t="shared" si="1"/>
        <v>4</v>
      </c>
    </row>
    <row r="22" ht="18.0" customHeight="1">
      <c r="A22" s="5" t="s">
        <v>76</v>
      </c>
      <c r="B22" s="6" t="s">
        <v>77</v>
      </c>
      <c r="C22" s="7">
        <v>5.0</v>
      </c>
      <c r="D22" s="10">
        <v>0.0</v>
      </c>
      <c r="E22" s="10">
        <v>0.0</v>
      </c>
      <c r="F22" s="10">
        <v>0.0</v>
      </c>
      <c r="G22" s="10">
        <v>0.0</v>
      </c>
      <c r="H22" s="8">
        <v>5.0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1">
        <f t="shared" si="1"/>
        <v>5</v>
      </c>
    </row>
    <row r="23" ht="18.0" customHeight="1">
      <c r="A23" s="5" t="s">
        <v>79</v>
      </c>
      <c r="B23" s="6" t="s">
        <v>80</v>
      </c>
      <c r="C23" s="7">
        <v>5.0</v>
      </c>
      <c r="D23" s="10">
        <v>0.0</v>
      </c>
      <c r="E23" s="10">
        <v>0.0</v>
      </c>
      <c r="F23" s="10">
        <v>0.0</v>
      </c>
      <c r="G23" s="10">
        <v>0.0</v>
      </c>
      <c r="H23" s="8">
        <v>2.0</v>
      </c>
      <c r="I23" s="8">
        <v>3.0</v>
      </c>
      <c r="J23" s="10">
        <v>0.0</v>
      </c>
      <c r="K23" s="10">
        <v>0.0</v>
      </c>
      <c r="L23" s="10">
        <v>0.0</v>
      </c>
      <c r="M23" s="10">
        <v>0.0</v>
      </c>
      <c r="N23" s="11">
        <f t="shared" si="1"/>
        <v>5</v>
      </c>
    </row>
    <row r="24" ht="18.0" customHeight="1">
      <c r="A24" s="5" t="s">
        <v>82</v>
      </c>
      <c r="B24" s="6" t="s">
        <v>83</v>
      </c>
      <c r="C24" s="7">
        <v>4.0</v>
      </c>
      <c r="D24" s="10">
        <v>0.0</v>
      </c>
      <c r="E24" s="8">
        <v>4.0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0.0</v>
      </c>
      <c r="L24" s="10">
        <v>0.0</v>
      </c>
      <c r="M24" s="10">
        <v>0.0</v>
      </c>
      <c r="N24" s="11">
        <f t="shared" si="1"/>
        <v>4</v>
      </c>
    </row>
    <row r="25" ht="27.75" customHeight="1">
      <c r="A25" s="15" t="s">
        <v>84</v>
      </c>
      <c r="B25" s="6" t="s">
        <v>86</v>
      </c>
      <c r="C25" s="7">
        <v>4.0</v>
      </c>
      <c r="D25" s="10">
        <v>0.0</v>
      </c>
      <c r="E25" s="10">
        <v>0.0</v>
      </c>
      <c r="F25" s="10">
        <v>0.0</v>
      </c>
      <c r="G25" s="8">
        <v>4.0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1">
        <f t="shared" si="1"/>
        <v>4</v>
      </c>
    </row>
    <row r="26" ht="27.75" customHeight="1">
      <c r="A26" s="15" t="s">
        <v>90</v>
      </c>
      <c r="B26" s="6" t="s">
        <v>92</v>
      </c>
      <c r="C26" s="7">
        <v>4.0</v>
      </c>
      <c r="D26" s="10">
        <v>0.0</v>
      </c>
      <c r="E26" s="10">
        <v>0.0</v>
      </c>
      <c r="F26" s="10">
        <v>0.0</v>
      </c>
      <c r="G26" s="8">
        <v>3.0</v>
      </c>
      <c r="H26" s="8">
        <v>1.0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1">
        <f t="shared" si="1"/>
        <v>4</v>
      </c>
    </row>
    <row r="27" ht="18.0" customHeight="1">
      <c r="A27" s="15" t="s">
        <v>95</v>
      </c>
      <c r="B27" s="6" t="s">
        <v>96</v>
      </c>
      <c r="C27" s="7">
        <v>3.0</v>
      </c>
      <c r="D27" s="10">
        <v>0.0</v>
      </c>
      <c r="E27" s="8">
        <v>1.0</v>
      </c>
      <c r="F27" s="8">
        <v>2.0</v>
      </c>
      <c r="G27" s="10">
        <v>0.0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1">
        <f t="shared" si="1"/>
        <v>3</v>
      </c>
    </row>
    <row r="28" ht="15.75" customHeight="1">
      <c r="A28" s="16"/>
      <c r="B28" s="16" t="s">
        <v>100</v>
      </c>
      <c r="C28" s="18">
        <f t="shared" ref="C28:M28" si="2">SUM(C6:C27)</f>
        <v>94</v>
      </c>
      <c r="D28" s="19">
        <f t="shared" si="2"/>
        <v>24</v>
      </c>
      <c r="E28" s="19">
        <f t="shared" si="2"/>
        <v>24</v>
      </c>
      <c r="F28" s="19">
        <f t="shared" si="2"/>
        <v>18</v>
      </c>
      <c r="G28" s="19">
        <f t="shared" si="2"/>
        <v>16</v>
      </c>
      <c r="H28" s="19">
        <f t="shared" si="2"/>
        <v>9</v>
      </c>
      <c r="I28" s="19">
        <f t="shared" si="2"/>
        <v>3</v>
      </c>
      <c r="J28" s="19">
        <f t="shared" si="2"/>
        <v>0</v>
      </c>
      <c r="K28" s="19">
        <f t="shared" si="2"/>
        <v>0</v>
      </c>
      <c r="L28" s="19">
        <f t="shared" si="2"/>
        <v>0</v>
      </c>
      <c r="M28" s="19">
        <f t="shared" si="2"/>
        <v>0</v>
      </c>
      <c r="N28" s="20">
        <f t="shared" si="1"/>
        <v>94</v>
      </c>
    </row>
    <row r="29" ht="15.75" customHeight="1"/>
    <row r="30" ht="15.75" customHeight="1">
      <c r="B30" s="21" t="s">
        <v>119</v>
      </c>
      <c r="C30" s="22" t="s">
        <v>121</v>
      </c>
      <c r="D30" s="23">
        <v>46293.0</v>
      </c>
      <c r="E30" s="23">
        <v>46294.0</v>
      </c>
      <c r="F30" s="23">
        <v>46295.0</v>
      </c>
      <c r="G30" s="23">
        <v>46296.0</v>
      </c>
      <c r="H30" s="23">
        <v>46297.0</v>
      </c>
      <c r="I30" s="23">
        <v>46300.0</v>
      </c>
      <c r="J30" s="23">
        <v>46301.0</v>
      </c>
      <c r="K30" s="23">
        <v>46302.0</v>
      </c>
      <c r="L30" s="23">
        <v>46303.0</v>
      </c>
      <c r="M30" s="23">
        <v>46304.0</v>
      </c>
    </row>
    <row r="31" ht="15.75" customHeight="1">
      <c r="B31" s="24" t="s">
        <v>128</v>
      </c>
      <c r="C31" s="25">
        <f>C28</f>
        <v>94</v>
      </c>
      <c r="D31" s="25">
        <f t="shared" ref="D31:M31" si="3">C31-D28</f>
        <v>70</v>
      </c>
      <c r="E31" s="25">
        <f t="shared" si="3"/>
        <v>46</v>
      </c>
      <c r="F31" s="25">
        <f t="shared" si="3"/>
        <v>28</v>
      </c>
      <c r="G31" s="25">
        <f t="shared" si="3"/>
        <v>12</v>
      </c>
      <c r="H31" s="25">
        <f t="shared" si="3"/>
        <v>3</v>
      </c>
      <c r="I31" s="25">
        <f t="shared" si="3"/>
        <v>0</v>
      </c>
      <c r="J31" s="25">
        <f t="shared" si="3"/>
        <v>0</v>
      </c>
      <c r="K31" s="25">
        <f t="shared" si="3"/>
        <v>0</v>
      </c>
      <c r="L31" s="25">
        <f t="shared" si="3"/>
        <v>0</v>
      </c>
      <c r="M31" s="25">
        <f t="shared" si="3"/>
        <v>0</v>
      </c>
    </row>
    <row r="32" ht="15.75" customHeight="1">
      <c r="B32" s="24" t="s">
        <v>140</v>
      </c>
      <c r="C32" s="25">
        <f>C28</f>
        <v>94</v>
      </c>
      <c r="D32" s="25">
        <f>$C$28*(10-1)/10</f>
        <v>84.6</v>
      </c>
      <c r="E32" s="25">
        <f>$C$28*(10-2)/10</f>
        <v>75.2</v>
      </c>
      <c r="F32" s="25">
        <f>$C$28*(10-3)/10</f>
        <v>65.8</v>
      </c>
      <c r="G32" s="25">
        <f>$C$28*(10-4)/10</f>
        <v>56.4</v>
      </c>
      <c r="H32" s="25">
        <f>$C$28*(10-5)/10</f>
        <v>47</v>
      </c>
      <c r="I32" s="25">
        <f>$C$28*(10-6)/10</f>
        <v>37.6</v>
      </c>
      <c r="J32" s="25">
        <f>$C$28*(10-7)/10</f>
        <v>28.2</v>
      </c>
      <c r="K32" s="25">
        <f>$C$28*(10-8)/10</f>
        <v>18.8</v>
      </c>
      <c r="L32" s="25">
        <f>$C$28*(10-9)/10</f>
        <v>9.4</v>
      </c>
      <c r="M32" s="25">
        <f>$C$28*(10-10)/10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43.5" customHeight="1"/>
    <row r="48" ht="43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4" right="0.4" top="1.0"/>
  <pageSetup paperSize="3" orientation="landscape"/>
  <headerFooter>
    <oddFooter>&amp;LHaircut Home Studio — Burndown Sprint 3&amp;RHoras del PDF Tareas x HU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62.0"/>
    <col customWidth="1" min="3" max="3" width="12.0"/>
    <col customWidth="1" min="4" max="13" width="8.0"/>
    <col customWidth="1" min="14" max="14" width="10.0"/>
    <col customWidth="1" min="15" max="26" width="9.14"/>
  </cols>
  <sheetData>
    <row r="1" ht="24.0" customHeight="1">
      <c r="A1" s="1" t="s">
        <v>1</v>
      </c>
    </row>
    <row r="2">
      <c r="A2" s="2" t="s">
        <v>3</v>
      </c>
    </row>
    <row r="4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15</v>
      </c>
      <c r="L4" s="3" t="s">
        <v>16</v>
      </c>
      <c r="M4" s="3" t="s">
        <v>17</v>
      </c>
      <c r="N4" s="3" t="s">
        <v>18</v>
      </c>
    </row>
    <row r="5">
      <c r="D5" s="4">
        <v>46307.0</v>
      </c>
      <c r="E5" s="4">
        <v>46308.0</v>
      </c>
      <c r="F5" s="4">
        <v>46309.0</v>
      </c>
      <c r="G5" s="4">
        <v>46310.0</v>
      </c>
      <c r="H5" s="4">
        <v>46311.0</v>
      </c>
      <c r="I5" s="4">
        <v>46314.0</v>
      </c>
      <c r="J5" s="4">
        <v>46315.0</v>
      </c>
      <c r="K5" s="4">
        <v>46316.0</v>
      </c>
      <c r="L5" s="4">
        <v>46317.0</v>
      </c>
      <c r="M5" s="4">
        <v>46318.0</v>
      </c>
    </row>
    <row r="6" ht="18.0" customHeight="1">
      <c r="A6" s="9" t="s">
        <v>22</v>
      </c>
      <c r="B6" s="6" t="s">
        <v>23</v>
      </c>
      <c r="C6" s="7">
        <v>5.0</v>
      </c>
      <c r="D6" s="8">
        <v>5.0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f t="shared" ref="N6:N23" si="1">SUM(D6:M6)</f>
        <v>5</v>
      </c>
    </row>
    <row r="7" ht="18.0" customHeight="1">
      <c r="A7" s="9" t="s">
        <v>28</v>
      </c>
      <c r="B7" s="6" t="s">
        <v>29</v>
      </c>
      <c r="C7" s="7">
        <v>5.0</v>
      </c>
      <c r="D7" s="8">
        <v>3.0</v>
      </c>
      <c r="E7" s="8">
        <v>2.0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f t="shared" si="1"/>
        <v>5</v>
      </c>
    </row>
    <row r="8" ht="18.0" customHeight="1">
      <c r="A8" s="9" t="s">
        <v>35</v>
      </c>
      <c r="B8" s="6" t="s">
        <v>37</v>
      </c>
      <c r="C8" s="7">
        <v>4.0</v>
      </c>
      <c r="D8" s="8">
        <v>4.0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>
        <f t="shared" si="1"/>
        <v>4</v>
      </c>
    </row>
    <row r="9" ht="18.0" customHeight="1">
      <c r="A9" s="9" t="s">
        <v>40</v>
      </c>
      <c r="B9" s="6" t="s">
        <v>41</v>
      </c>
      <c r="C9" s="7">
        <v>6.0</v>
      </c>
      <c r="D9" s="10">
        <v>0.0</v>
      </c>
      <c r="E9" s="8">
        <v>6.0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1">
        <f t="shared" si="1"/>
        <v>6</v>
      </c>
    </row>
    <row r="10" ht="18.0" customHeight="1">
      <c r="A10" s="9" t="s">
        <v>46</v>
      </c>
      <c r="B10" s="6" t="s">
        <v>47</v>
      </c>
      <c r="C10" s="7">
        <v>5.0</v>
      </c>
      <c r="D10" s="10">
        <v>0.0</v>
      </c>
      <c r="E10" s="10">
        <v>0.0</v>
      </c>
      <c r="F10" s="8">
        <v>5.0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1">
        <f t="shared" si="1"/>
        <v>5</v>
      </c>
    </row>
    <row r="11" ht="18.0" customHeight="1">
      <c r="A11" s="9" t="s">
        <v>51</v>
      </c>
      <c r="B11" s="6" t="s">
        <v>37</v>
      </c>
      <c r="C11" s="7">
        <v>4.0</v>
      </c>
      <c r="D11" s="8">
        <v>4.0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0.0</v>
      </c>
      <c r="L11" s="10">
        <v>0.0</v>
      </c>
      <c r="M11" s="10">
        <v>0.0</v>
      </c>
      <c r="N11" s="11">
        <f t="shared" si="1"/>
        <v>4</v>
      </c>
    </row>
    <row r="12" ht="18.0" customHeight="1">
      <c r="A12" s="9" t="s">
        <v>55</v>
      </c>
      <c r="B12" s="6" t="s">
        <v>56</v>
      </c>
      <c r="C12" s="7">
        <v>6.0</v>
      </c>
      <c r="D12" s="10">
        <v>0.0</v>
      </c>
      <c r="E12" s="10">
        <v>0.0</v>
      </c>
      <c r="F12" s="8">
        <v>3.0</v>
      </c>
      <c r="G12" s="8">
        <v>3.0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1">
        <f t="shared" si="1"/>
        <v>6</v>
      </c>
    </row>
    <row r="13" ht="18.0" customHeight="1">
      <c r="A13" s="9" t="s">
        <v>63</v>
      </c>
      <c r="B13" s="6" t="s">
        <v>64</v>
      </c>
      <c r="C13" s="7">
        <v>5.0</v>
      </c>
      <c r="D13" s="10">
        <v>0.0</v>
      </c>
      <c r="E13" s="10">
        <v>0.0</v>
      </c>
      <c r="F13" s="10">
        <v>0.0</v>
      </c>
      <c r="G13" s="8">
        <v>5.0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>
        <f t="shared" si="1"/>
        <v>5</v>
      </c>
    </row>
    <row r="14" ht="18.0" customHeight="1">
      <c r="A14" s="9" t="s">
        <v>70</v>
      </c>
      <c r="B14" s="6" t="s">
        <v>37</v>
      </c>
      <c r="C14" s="7">
        <v>4.0</v>
      </c>
      <c r="D14" s="10">
        <v>0.0</v>
      </c>
      <c r="E14" s="8">
        <v>4.0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>
        <v>0.0</v>
      </c>
      <c r="M14" s="10">
        <v>0.0</v>
      </c>
      <c r="N14" s="11">
        <f t="shared" si="1"/>
        <v>4</v>
      </c>
    </row>
    <row r="15" ht="18.0" customHeight="1">
      <c r="A15" s="14" t="s">
        <v>78</v>
      </c>
      <c r="B15" s="6" t="s">
        <v>81</v>
      </c>
      <c r="C15" s="7">
        <v>6.0</v>
      </c>
      <c r="D15" s="10">
        <v>0.0</v>
      </c>
      <c r="E15" s="10">
        <v>0.0</v>
      </c>
      <c r="F15" s="10">
        <v>0.0</v>
      </c>
      <c r="G15" s="10">
        <v>0.0</v>
      </c>
      <c r="H15" s="8">
        <v>6.0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1">
        <f t="shared" si="1"/>
        <v>6</v>
      </c>
    </row>
    <row r="16" ht="18.0" customHeight="1">
      <c r="A16" s="14" t="s">
        <v>87</v>
      </c>
      <c r="B16" s="6" t="s">
        <v>89</v>
      </c>
      <c r="C16" s="7">
        <v>4.0</v>
      </c>
      <c r="D16" s="10">
        <v>0.0</v>
      </c>
      <c r="E16" s="10">
        <v>0.0</v>
      </c>
      <c r="F16" s="10">
        <v>0.0</v>
      </c>
      <c r="G16" s="10">
        <v>0.0</v>
      </c>
      <c r="H16" s="8">
        <v>2.0</v>
      </c>
      <c r="I16" s="8">
        <v>2.0</v>
      </c>
      <c r="J16" s="10">
        <v>0.0</v>
      </c>
      <c r="K16" s="10">
        <v>0.0</v>
      </c>
      <c r="L16" s="10">
        <v>0.0</v>
      </c>
      <c r="M16" s="10">
        <v>0.0</v>
      </c>
      <c r="N16" s="11">
        <f t="shared" si="1"/>
        <v>4</v>
      </c>
    </row>
    <row r="17" ht="27.75" customHeight="1">
      <c r="A17" s="14" t="s">
        <v>94</v>
      </c>
      <c r="B17" s="6" t="s">
        <v>97</v>
      </c>
      <c r="C17" s="7">
        <v>4.0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8">
        <v>4.0</v>
      </c>
      <c r="J17" s="10">
        <v>0.0</v>
      </c>
      <c r="K17" s="10">
        <v>0.0</v>
      </c>
      <c r="L17" s="10">
        <v>0.0</v>
      </c>
      <c r="M17" s="10">
        <v>0.0</v>
      </c>
      <c r="N17" s="11">
        <f t="shared" si="1"/>
        <v>4</v>
      </c>
    </row>
    <row r="18" ht="27.75" customHeight="1">
      <c r="A18" s="14" t="s">
        <v>101</v>
      </c>
      <c r="B18" s="6" t="s">
        <v>102</v>
      </c>
      <c r="C18" s="7">
        <v>5.0</v>
      </c>
      <c r="D18" s="8">
        <v>5.0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1">
        <f t="shared" si="1"/>
        <v>5</v>
      </c>
    </row>
    <row r="19" ht="18.0" customHeight="1">
      <c r="A19" s="14" t="s">
        <v>105</v>
      </c>
      <c r="B19" s="6" t="s">
        <v>106</v>
      </c>
      <c r="C19" s="7">
        <v>4.0</v>
      </c>
      <c r="D19" s="10">
        <v>0.0</v>
      </c>
      <c r="E19" s="8">
        <v>4.0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1">
        <f t="shared" si="1"/>
        <v>4</v>
      </c>
    </row>
    <row r="20" ht="18.0" customHeight="1">
      <c r="A20" s="14" t="s">
        <v>111</v>
      </c>
      <c r="B20" s="6" t="s">
        <v>112</v>
      </c>
      <c r="C20" s="7">
        <v>6.0</v>
      </c>
      <c r="D20" s="8">
        <v>3.0</v>
      </c>
      <c r="E20" s="8">
        <v>3.0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1">
        <f t="shared" si="1"/>
        <v>6</v>
      </c>
    </row>
    <row r="21" ht="18.0" customHeight="1">
      <c r="A21" s="14" t="s">
        <v>117</v>
      </c>
      <c r="B21" s="6" t="s">
        <v>118</v>
      </c>
      <c r="C21" s="7">
        <v>5.0</v>
      </c>
      <c r="D21" s="10">
        <v>0.0</v>
      </c>
      <c r="E21" s="8">
        <v>5.0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1">
        <f t="shared" si="1"/>
        <v>5</v>
      </c>
    </row>
    <row r="22" ht="18.0" customHeight="1">
      <c r="A22" s="14" t="s">
        <v>123</v>
      </c>
      <c r="B22" s="6" t="s">
        <v>124</v>
      </c>
      <c r="C22" s="7">
        <v>6.0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8">
        <v>2.0</v>
      </c>
      <c r="J22" s="8">
        <v>4.0</v>
      </c>
      <c r="K22" s="10">
        <v>0.0</v>
      </c>
      <c r="L22" s="10">
        <v>0.0</v>
      </c>
      <c r="M22" s="10">
        <v>0.0</v>
      </c>
      <c r="N22" s="11">
        <f t="shared" si="1"/>
        <v>6</v>
      </c>
    </row>
    <row r="23" ht="15.75" customHeight="1">
      <c r="A23" s="16"/>
      <c r="B23" s="16" t="s">
        <v>100</v>
      </c>
      <c r="C23" s="18">
        <f t="shared" ref="C23:M23" si="2">SUM(C6:C22)</f>
        <v>84</v>
      </c>
      <c r="D23" s="19">
        <f t="shared" si="2"/>
        <v>24</v>
      </c>
      <c r="E23" s="19">
        <f t="shared" si="2"/>
        <v>24</v>
      </c>
      <c r="F23" s="19">
        <f t="shared" si="2"/>
        <v>8</v>
      </c>
      <c r="G23" s="19">
        <f t="shared" si="2"/>
        <v>8</v>
      </c>
      <c r="H23" s="19">
        <f t="shared" si="2"/>
        <v>8</v>
      </c>
      <c r="I23" s="19">
        <f t="shared" si="2"/>
        <v>8</v>
      </c>
      <c r="J23" s="19">
        <f t="shared" si="2"/>
        <v>4</v>
      </c>
      <c r="K23" s="19">
        <f t="shared" si="2"/>
        <v>0</v>
      </c>
      <c r="L23" s="19">
        <f t="shared" si="2"/>
        <v>0</v>
      </c>
      <c r="M23" s="19">
        <f t="shared" si="2"/>
        <v>0</v>
      </c>
      <c r="N23" s="20">
        <f t="shared" si="1"/>
        <v>84</v>
      </c>
    </row>
    <row r="24" ht="15.75" customHeight="1"/>
    <row r="25" ht="15.75" customHeight="1">
      <c r="B25" s="21" t="s">
        <v>119</v>
      </c>
      <c r="C25" s="22" t="s">
        <v>121</v>
      </c>
      <c r="D25" s="23">
        <v>46307.0</v>
      </c>
      <c r="E25" s="23">
        <v>46308.0</v>
      </c>
      <c r="F25" s="23">
        <v>46309.0</v>
      </c>
      <c r="G25" s="23">
        <v>46310.0</v>
      </c>
      <c r="H25" s="23">
        <v>46311.0</v>
      </c>
      <c r="I25" s="23">
        <v>46314.0</v>
      </c>
      <c r="J25" s="23">
        <v>46315.0</v>
      </c>
      <c r="K25" s="23">
        <v>46316.0</v>
      </c>
      <c r="L25" s="23">
        <v>46317.0</v>
      </c>
      <c r="M25" s="23">
        <v>46318.0</v>
      </c>
    </row>
    <row r="26" ht="15.75" customHeight="1">
      <c r="B26" s="24" t="s">
        <v>128</v>
      </c>
      <c r="C26" s="25">
        <f>C23</f>
        <v>84</v>
      </c>
      <c r="D26" s="25">
        <f t="shared" ref="D26:M26" si="3">C26-D23</f>
        <v>60</v>
      </c>
      <c r="E26" s="25">
        <f t="shared" si="3"/>
        <v>36</v>
      </c>
      <c r="F26" s="25">
        <f t="shared" si="3"/>
        <v>28</v>
      </c>
      <c r="G26" s="25">
        <f t="shared" si="3"/>
        <v>20</v>
      </c>
      <c r="H26" s="25">
        <f t="shared" si="3"/>
        <v>12</v>
      </c>
      <c r="I26" s="25">
        <f t="shared" si="3"/>
        <v>4</v>
      </c>
      <c r="J26" s="25">
        <f t="shared" si="3"/>
        <v>0</v>
      </c>
      <c r="K26" s="25">
        <f t="shared" si="3"/>
        <v>0</v>
      </c>
      <c r="L26" s="25">
        <f t="shared" si="3"/>
        <v>0</v>
      </c>
      <c r="M26" s="25">
        <f t="shared" si="3"/>
        <v>0</v>
      </c>
    </row>
    <row r="27" ht="15.75" customHeight="1">
      <c r="B27" s="24" t="s">
        <v>140</v>
      </c>
      <c r="C27" s="25">
        <f>C23</f>
        <v>84</v>
      </c>
      <c r="D27" s="25">
        <f>$C$23*(10-1)/10</f>
        <v>75.6</v>
      </c>
      <c r="E27" s="25">
        <f>$C$23*(10-2)/10</f>
        <v>67.2</v>
      </c>
      <c r="F27" s="25">
        <f>$C$23*(10-3)/10</f>
        <v>58.8</v>
      </c>
      <c r="G27" s="25">
        <f>$C$23*(10-4)/10</f>
        <v>50.4</v>
      </c>
      <c r="H27" s="25">
        <f>$C$23*(10-5)/10</f>
        <v>42</v>
      </c>
      <c r="I27" s="25">
        <f>$C$23*(10-6)/10</f>
        <v>33.6</v>
      </c>
      <c r="J27" s="25">
        <f>$C$23*(10-7)/10</f>
        <v>25.2</v>
      </c>
      <c r="K27" s="25">
        <f>$C$23*(10-8)/10</f>
        <v>16.8</v>
      </c>
      <c r="L27" s="25">
        <f>$C$23*(10-9)/10</f>
        <v>8.4</v>
      </c>
      <c r="M27" s="25">
        <f>$C$23*(10-10)/10</f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4" right="0.4" top="1.0"/>
  <pageSetup paperSize="3" orientation="landscape"/>
  <headerFooter>
    <oddFooter>&amp;LHaircut Home Studio — Burndown Sprint 4&amp;RHoras del PDF Tareas x HU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62.0"/>
    <col customWidth="1" min="3" max="3" width="12.0"/>
    <col customWidth="1" min="4" max="13" width="8.0"/>
    <col customWidth="1" min="14" max="14" width="10.0"/>
    <col customWidth="1" min="15" max="26" width="9.14"/>
  </cols>
  <sheetData>
    <row r="1" ht="24.0" customHeight="1">
      <c r="A1" s="1" t="s">
        <v>171</v>
      </c>
    </row>
    <row r="2">
      <c r="A2" s="2" t="s">
        <v>172</v>
      </c>
    </row>
    <row r="4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15</v>
      </c>
      <c r="L4" s="3" t="s">
        <v>16</v>
      </c>
      <c r="M4" s="3" t="s">
        <v>17</v>
      </c>
      <c r="N4" s="3" t="s">
        <v>18</v>
      </c>
    </row>
    <row r="5">
      <c r="D5" s="4">
        <v>46321.0</v>
      </c>
      <c r="E5" s="4">
        <v>46322.0</v>
      </c>
      <c r="F5" s="4">
        <v>46323.0</v>
      </c>
      <c r="G5" s="4">
        <v>46324.0</v>
      </c>
      <c r="H5" s="4">
        <v>46325.0</v>
      </c>
      <c r="I5" s="4">
        <v>46328.0</v>
      </c>
      <c r="J5" s="4">
        <v>46329.0</v>
      </c>
      <c r="K5" s="4">
        <v>46330.0</v>
      </c>
      <c r="L5" s="4">
        <v>46331.0</v>
      </c>
      <c r="M5" s="4">
        <v>46332.0</v>
      </c>
    </row>
    <row r="6" ht="18.0" customHeight="1">
      <c r="A6" s="14" t="s">
        <v>173</v>
      </c>
      <c r="B6" s="6" t="s">
        <v>174</v>
      </c>
      <c r="C6" s="7">
        <v>4.0</v>
      </c>
      <c r="D6" s="8">
        <v>4.0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f t="shared" ref="N6:N23" si="1">SUM(D6:M6)</f>
        <v>4</v>
      </c>
    </row>
    <row r="7" ht="18.0" customHeight="1">
      <c r="A7" s="14" t="s">
        <v>175</v>
      </c>
      <c r="B7" s="6" t="s">
        <v>176</v>
      </c>
      <c r="C7" s="7">
        <v>8.0</v>
      </c>
      <c r="D7" s="8">
        <v>8.0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f t="shared" si="1"/>
        <v>8</v>
      </c>
    </row>
    <row r="8" ht="18.0" customHeight="1">
      <c r="A8" s="14" t="s">
        <v>177</v>
      </c>
      <c r="B8" s="26" t="s">
        <v>178</v>
      </c>
      <c r="C8" s="7">
        <v>10.0</v>
      </c>
      <c r="D8" s="10">
        <v>0.0</v>
      </c>
      <c r="E8" s="8">
        <v>8.0</v>
      </c>
      <c r="F8" s="8">
        <v>2.0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1">
        <f t="shared" si="1"/>
        <v>10</v>
      </c>
    </row>
    <row r="9" ht="18.0" customHeight="1">
      <c r="A9" s="14" t="s">
        <v>179</v>
      </c>
      <c r="B9" s="6" t="s">
        <v>180</v>
      </c>
      <c r="C9" s="7">
        <v>10.0</v>
      </c>
      <c r="D9" s="10">
        <v>0.0</v>
      </c>
      <c r="E9" s="10">
        <v>0.0</v>
      </c>
      <c r="F9" s="8">
        <v>6.0</v>
      </c>
      <c r="G9" s="8">
        <v>4.0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1">
        <f t="shared" si="1"/>
        <v>10</v>
      </c>
    </row>
    <row r="10" ht="27.75" customHeight="1">
      <c r="A10" s="14" t="s">
        <v>181</v>
      </c>
      <c r="B10" s="6" t="s">
        <v>182</v>
      </c>
      <c r="C10" s="7">
        <v>7.0</v>
      </c>
      <c r="D10" s="10">
        <v>0.0</v>
      </c>
      <c r="E10" s="10">
        <v>0.0</v>
      </c>
      <c r="F10" s="10">
        <v>0.0</v>
      </c>
      <c r="G10" s="8">
        <v>4.0</v>
      </c>
      <c r="H10" s="8">
        <v>3.0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1">
        <f t="shared" si="1"/>
        <v>7</v>
      </c>
    </row>
    <row r="11" ht="27.75" customHeight="1">
      <c r="A11" s="14" t="s">
        <v>183</v>
      </c>
      <c r="B11" s="6" t="s">
        <v>184</v>
      </c>
      <c r="C11" s="7">
        <v>8.0</v>
      </c>
      <c r="D11" s="10">
        <v>0.0</v>
      </c>
      <c r="E11" s="10">
        <v>0.0</v>
      </c>
      <c r="F11" s="10">
        <v>0.0</v>
      </c>
      <c r="G11" s="10">
        <v>0.0</v>
      </c>
      <c r="H11" s="8">
        <v>5.0</v>
      </c>
      <c r="I11" s="8">
        <v>3.0</v>
      </c>
      <c r="J11" s="10">
        <v>0.0</v>
      </c>
      <c r="K11" s="10">
        <v>0.0</v>
      </c>
      <c r="L11" s="10">
        <v>0.0</v>
      </c>
      <c r="M11" s="10">
        <v>0.0</v>
      </c>
      <c r="N11" s="11">
        <f t="shared" si="1"/>
        <v>8</v>
      </c>
    </row>
    <row r="12" ht="18.0" customHeight="1">
      <c r="A12" s="14" t="s">
        <v>185</v>
      </c>
      <c r="B12" s="6" t="s">
        <v>186</v>
      </c>
      <c r="C12" s="7">
        <v>6.0</v>
      </c>
      <c r="D12" s="8">
        <v>4.0</v>
      </c>
      <c r="E12" s="8">
        <v>2.0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1">
        <f t="shared" si="1"/>
        <v>6</v>
      </c>
    </row>
    <row r="13" ht="18.0" customHeight="1">
      <c r="A13" s="14" t="s">
        <v>187</v>
      </c>
      <c r="B13" s="6" t="s">
        <v>188</v>
      </c>
      <c r="C13" s="7">
        <v>5.0</v>
      </c>
      <c r="D13" s="8">
        <v>5.0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1">
        <f t="shared" si="1"/>
        <v>5</v>
      </c>
    </row>
    <row r="14" ht="18.0" customHeight="1">
      <c r="A14" s="14" t="s">
        <v>189</v>
      </c>
      <c r="B14" s="6" t="s">
        <v>190</v>
      </c>
      <c r="C14" s="7">
        <v>5.0</v>
      </c>
      <c r="D14" s="10">
        <v>0.0</v>
      </c>
      <c r="E14" s="10">
        <v>0.0</v>
      </c>
      <c r="F14" s="10">
        <v>0.0</v>
      </c>
      <c r="G14" s="10">
        <v>0.0</v>
      </c>
      <c r="H14" s="10">
        <v>0.0</v>
      </c>
      <c r="I14" s="8">
        <v>5.0</v>
      </c>
      <c r="J14" s="10">
        <v>0.0</v>
      </c>
      <c r="K14" s="10">
        <v>0.0</v>
      </c>
      <c r="L14" s="10">
        <v>0.0</v>
      </c>
      <c r="M14" s="10">
        <v>0.0</v>
      </c>
      <c r="N14" s="11">
        <f t="shared" si="1"/>
        <v>5</v>
      </c>
    </row>
    <row r="15" ht="18.0" customHeight="1">
      <c r="A15" s="27" t="s">
        <v>191</v>
      </c>
      <c r="B15" s="6" t="s">
        <v>192</v>
      </c>
      <c r="C15" s="7">
        <v>5.0</v>
      </c>
      <c r="D15" s="10">
        <v>0.0</v>
      </c>
      <c r="E15" s="8">
        <v>5.0</v>
      </c>
      <c r="F15" s="10">
        <v>0.0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1">
        <f t="shared" si="1"/>
        <v>5</v>
      </c>
    </row>
    <row r="16" ht="18.0" customHeight="1">
      <c r="A16" s="27" t="s">
        <v>193</v>
      </c>
      <c r="B16" s="6" t="s">
        <v>194</v>
      </c>
      <c r="C16" s="7">
        <v>7.0</v>
      </c>
      <c r="D16" s="10">
        <v>0.0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8">
        <v>7.0</v>
      </c>
      <c r="K16" s="10">
        <v>0.0</v>
      </c>
      <c r="L16" s="10">
        <v>0.0</v>
      </c>
      <c r="M16" s="10">
        <v>0.0</v>
      </c>
      <c r="N16" s="11">
        <f t="shared" si="1"/>
        <v>7</v>
      </c>
    </row>
    <row r="17" ht="18.0" customHeight="1">
      <c r="A17" s="27" t="s">
        <v>195</v>
      </c>
      <c r="B17" s="6" t="s">
        <v>196</v>
      </c>
      <c r="C17" s="7">
        <v>7.0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8">
        <v>1.0</v>
      </c>
      <c r="K17" s="8">
        <v>6.0</v>
      </c>
      <c r="L17" s="10">
        <v>0.0</v>
      </c>
      <c r="M17" s="10">
        <v>0.0</v>
      </c>
      <c r="N17" s="11">
        <f t="shared" si="1"/>
        <v>7</v>
      </c>
    </row>
    <row r="18" ht="18.0" customHeight="1">
      <c r="A18" s="27" t="s">
        <v>197</v>
      </c>
      <c r="B18" s="6" t="s">
        <v>198</v>
      </c>
      <c r="C18" s="7">
        <v>7.0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8">
        <v>2.0</v>
      </c>
      <c r="L18" s="8">
        <v>5.0</v>
      </c>
      <c r="M18" s="10">
        <v>0.0</v>
      </c>
      <c r="N18" s="11">
        <f t="shared" si="1"/>
        <v>7</v>
      </c>
    </row>
    <row r="19" ht="18.0" customHeight="1">
      <c r="A19" s="27" t="s">
        <v>199</v>
      </c>
      <c r="B19" s="6" t="s">
        <v>200</v>
      </c>
      <c r="C19" s="7">
        <v>5.0</v>
      </c>
      <c r="D19" s="8">
        <v>3.0</v>
      </c>
      <c r="E19" s="8">
        <v>2.0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1">
        <f t="shared" si="1"/>
        <v>5</v>
      </c>
    </row>
    <row r="20" ht="18.0" customHeight="1">
      <c r="A20" s="27" t="s">
        <v>201</v>
      </c>
      <c r="B20" s="6" t="s">
        <v>202</v>
      </c>
      <c r="C20" s="7">
        <v>6.0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8">
        <v>3.0</v>
      </c>
      <c r="M20" s="8">
        <v>3.0</v>
      </c>
      <c r="N20" s="11">
        <f t="shared" si="1"/>
        <v>6</v>
      </c>
    </row>
    <row r="21" ht="18.0" customHeight="1">
      <c r="A21" s="27" t="s">
        <v>203</v>
      </c>
      <c r="B21" s="6" t="s">
        <v>204</v>
      </c>
      <c r="C21" s="7">
        <v>5.0</v>
      </c>
      <c r="D21" s="10">
        <v>0.0</v>
      </c>
      <c r="E21" s="10">
        <v>0.0</v>
      </c>
      <c r="F21" s="10">
        <v>0.0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8">
        <v>5.0</v>
      </c>
      <c r="N21" s="11">
        <f t="shared" si="1"/>
        <v>5</v>
      </c>
    </row>
    <row r="22" ht="18.0" customHeight="1">
      <c r="A22" s="27" t="s">
        <v>205</v>
      </c>
      <c r="B22" s="6" t="s">
        <v>200</v>
      </c>
      <c r="C22" s="7">
        <v>4.0</v>
      </c>
      <c r="D22" s="10">
        <v>0.0</v>
      </c>
      <c r="E22" s="8">
        <v>4.0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1">
        <f t="shared" si="1"/>
        <v>4</v>
      </c>
    </row>
    <row r="23" ht="15.75" customHeight="1">
      <c r="A23" s="16"/>
      <c r="B23" s="16" t="s">
        <v>100</v>
      </c>
      <c r="C23" s="18">
        <f t="shared" ref="C23:M23" si="2">SUM(C6:C22)</f>
        <v>109</v>
      </c>
      <c r="D23" s="19">
        <f t="shared" si="2"/>
        <v>24</v>
      </c>
      <c r="E23" s="19">
        <f t="shared" si="2"/>
        <v>21</v>
      </c>
      <c r="F23" s="19">
        <f t="shared" si="2"/>
        <v>8</v>
      </c>
      <c r="G23" s="19">
        <f t="shared" si="2"/>
        <v>8</v>
      </c>
      <c r="H23" s="19">
        <f t="shared" si="2"/>
        <v>8</v>
      </c>
      <c r="I23" s="19">
        <f t="shared" si="2"/>
        <v>8</v>
      </c>
      <c r="J23" s="19">
        <f t="shared" si="2"/>
        <v>8</v>
      </c>
      <c r="K23" s="19">
        <f t="shared" si="2"/>
        <v>8</v>
      </c>
      <c r="L23" s="19">
        <f t="shared" si="2"/>
        <v>8</v>
      </c>
      <c r="M23" s="19">
        <f t="shared" si="2"/>
        <v>8</v>
      </c>
      <c r="N23" s="20">
        <f t="shared" si="1"/>
        <v>109</v>
      </c>
    </row>
    <row r="24" ht="15.75" customHeight="1"/>
    <row r="25" ht="15.75" customHeight="1">
      <c r="B25" s="21" t="s">
        <v>119</v>
      </c>
      <c r="C25" s="22" t="s">
        <v>121</v>
      </c>
      <c r="D25" s="23">
        <v>46321.0</v>
      </c>
      <c r="E25" s="23">
        <v>46322.0</v>
      </c>
      <c r="F25" s="23">
        <v>46323.0</v>
      </c>
      <c r="G25" s="23">
        <v>46324.0</v>
      </c>
      <c r="H25" s="23">
        <v>46325.0</v>
      </c>
      <c r="I25" s="23">
        <v>46328.0</v>
      </c>
      <c r="J25" s="23">
        <v>46329.0</v>
      </c>
      <c r="K25" s="23">
        <v>46330.0</v>
      </c>
      <c r="L25" s="23">
        <v>46331.0</v>
      </c>
      <c r="M25" s="23">
        <v>46332.0</v>
      </c>
    </row>
    <row r="26" ht="15.75" customHeight="1">
      <c r="B26" s="24" t="s">
        <v>128</v>
      </c>
      <c r="C26" s="25">
        <f>C23</f>
        <v>109</v>
      </c>
      <c r="D26" s="25">
        <f t="shared" ref="D26:M26" si="3">C26-D23</f>
        <v>85</v>
      </c>
      <c r="E26" s="25">
        <f t="shared" si="3"/>
        <v>64</v>
      </c>
      <c r="F26" s="25">
        <f t="shared" si="3"/>
        <v>56</v>
      </c>
      <c r="G26" s="25">
        <f t="shared" si="3"/>
        <v>48</v>
      </c>
      <c r="H26" s="25">
        <f t="shared" si="3"/>
        <v>40</v>
      </c>
      <c r="I26" s="25">
        <f t="shared" si="3"/>
        <v>32</v>
      </c>
      <c r="J26" s="25">
        <f t="shared" si="3"/>
        <v>24</v>
      </c>
      <c r="K26" s="25">
        <f t="shared" si="3"/>
        <v>16</v>
      </c>
      <c r="L26" s="25">
        <f t="shared" si="3"/>
        <v>8</v>
      </c>
      <c r="M26" s="25">
        <f t="shared" si="3"/>
        <v>0</v>
      </c>
    </row>
    <row r="27" ht="15.75" customHeight="1">
      <c r="B27" s="24" t="s">
        <v>140</v>
      </c>
      <c r="C27" s="25">
        <f>C23</f>
        <v>109</v>
      </c>
      <c r="D27" s="25">
        <f>$C$23*(10-1)/10</f>
        <v>98.1</v>
      </c>
      <c r="E27" s="25">
        <f>$C$23*(10-2)/10</f>
        <v>87.2</v>
      </c>
      <c r="F27" s="25">
        <f>$C$23*(10-3)/10</f>
        <v>76.3</v>
      </c>
      <c r="G27" s="25">
        <f>$C$23*(10-4)/10</f>
        <v>65.4</v>
      </c>
      <c r="H27" s="25">
        <f>$C$23*(10-5)/10</f>
        <v>54.5</v>
      </c>
      <c r="I27" s="25">
        <f>$C$23*(10-6)/10</f>
        <v>43.6</v>
      </c>
      <c r="J27" s="25">
        <f>$C$23*(10-7)/10</f>
        <v>32.7</v>
      </c>
      <c r="K27" s="25">
        <f>$C$23*(10-8)/10</f>
        <v>21.8</v>
      </c>
      <c r="L27" s="25">
        <f>$C$23*(10-9)/10</f>
        <v>10.9</v>
      </c>
      <c r="M27" s="25">
        <f>$C$23*(10-10)/10</f>
        <v>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4" right="0.4" top="1.0"/>
  <pageSetup paperSize="3" orientation="landscape"/>
  <headerFooter>
    <oddFooter>&amp;LHaircut Home Studio — Burndown Sprint 5&amp;RHoras del PDF Tareas x HU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2026-09-30T08:58:01Z</dcterms:created>
  <dc:creator>openpyxl</dc:creator>
</cp:coreProperties>
</file>