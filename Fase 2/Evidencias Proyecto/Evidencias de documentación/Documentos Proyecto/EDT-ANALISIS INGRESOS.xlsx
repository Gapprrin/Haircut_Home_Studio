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BWFdcc5TmZPzxaoI1hpw+wNktkUqtSTCU1N2XragoUw="/>
    </ext>
  </extLst>
</workbook>
</file>

<file path=xl/sharedStrings.xml><?xml version="1.0" encoding="utf-8"?>
<sst xmlns="http://schemas.openxmlformats.org/spreadsheetml/2006/main" count="529" uniqueCount="243">
  <si>
    <t>EDT — Estructura de descomposición de tareas — Haircut Home Studio</t>
  </si>
  <si>
    <t>Las tareas E01 a E07 y sus horas son las del PDF Tareas x HU (90 tareas, 469 h). E07-HU01-T04 no tiene nombre en el PDF: se conservan las 10 h. Fase 1 (36 h) y Fase 3 (79 h) no están en el PDF y se mantienen. E06 queda con las 46 h del PDF. Cada tarea del PDF está en un solo rol, para que la suma de roles sea exactamente la hora del PDF.</t>
  </si>
  <si>
    <t>Actividades</t>
  </si>
  <si>
    <t>Horas</t>
  </si>
  <si>
    <t>JP</t>
  </si>
  <si>
    <t>AF</t>
  </si>
  <si>
    <t>PG</t>
  </si>
  <si>
    <t>DBA</t>
  </si>
  <si>
    <t>TS</t>
  </si>
  <si>
    <t>DI</t>
  </si>
  <si>
    <t>Historia / fase</t>
  </si>
  <si>
    <t>SIGLA</t>
  </si>
  <si>
    <t>ROL</t>
  </si>
  <si>
    <t>NOMBRE</t>
  </si>
  <si>
    <t>COSTO x HORA</t>
  </si>
  <si>
    <t>HISTORIA</t>
  </si>
  <si>
    <t>HORAS PDF</t>
  </si>
  <si>
    <t>SPRINT</t>
  </si>
  <si>
    <t>Fase 1: Análisis y planificación</t>
  </si>
  <si>
    <t>JEFE DE PROYECTO</t>
  </si>
  <si>
    <t>Rosa Garrido</t>
  </si>
  <si>
    <t>E01-HU01</t>
  </si>
  <si>
    <t>Definición del proyecto</t>
  </si>
  <si>
    <t>F1</t>
  </si>
  <si>
    <t>ANALISTA FUNCIONAL</t>
  </si>
  <si>
    <t>Mateo Alvarez</t>
  </si>
  <si>
    <t>Documento de visión del proyecto</t>
  </si>
  <si>
    <t>PROGRAMADOR</t>
  </si>
  <si>
    <t>Nicolas Carmona</t>
  </si>
  <si>
    <t>Creación de Épicas e Historias de Usuario</t>
  </si>
  <si>
    <t>ADMIN. BASE DE DATOS</t>
  </si>
  <si>
    <t>Construcción del Product Backlog inicial</t>
  </si>
  <si>
    <t>TESTING</t>
  </si>
  <si>
    <t>E02-HU01</t>
  </si>
  <si>
    <t>Diseño de arquitectura, modelo de base de datos y mockups</t>
  </si>
  <si>
    <t>DISEÑADOR</t>
  </si>
  <si>
    <t>Total Fase 1</t>
  </si>
  <si>
    <t>Fase 2: Desarrollo e integración — tareas y horas</t>
  </si>
  <si>
    <t>Sprint 1 (31/08/2026 – 13/09/2026) — 10 días hábiles</t>
  </si>
  <si>
    <t>E02-HU02</t>
  </si>
  <si>
    <t>E01-HU01  Reserva de una hora de atención.</t>
  </si>
  <si>
    <t>COSTO POR FASE</t>
  </si>
  <si>
    <t>E01-HU01-T01  Reserva de hora (bloqueo temporal)</t>
  </si>
  <si>
    <t>S1</t>
  </si>
  <si>
    <t>Fase Análisis y Planificación</t>
  </si>
  <si>
    <t>E01-HU01-T02  Crear mensaje de confirmación de hora</t>
  </si>
  <si>
    <t>Fase Diseño</t>
  </si>
  <si>
    <t>E01-HU01-T03  Agenda de hora (registro en la bbdd)</t>
  </si>
  <si>
    <t>Fase de Desarrollo</t>
  </si>
  <si>
    <t>FUENTE DE INFORMACION www.mifuturo.cl / www.universia.cl</t>
  </si>
  <si>
    <t>INGENIERIA INFORMÁTICA</t>
  </si>
  <si>
    <t>EXPERIENCIA</t>
  </si>
  <si>
    <t>(- 2 años)</t>
  </si>
  <si>
    <t>(+2 años)</t>
  </si>
  <si>
    <t>RESPONS.</t>
  </si>
  <si>
    <t>SUELDO</t>
  </si>
  <si>
    <t>HH</t>
  </si>
  <si>
    <t>Jefe de Proyecto</t>
  </si>
  <si>
    <t>x</t>
  </si>
  <si>
    <t>E02-HU03</t>
  </si>
  <si>
    <t>E01-HU01-T04  Verificar reserva en la bbdd</t>
  </si>
  <si>
    <t>Fase Implementación y Cierre</t>
  </si>
  <si>
    <t>E02-HU01  Revisión de las horas agendadas.</t>
  </si>
  <si>
    <t>Total por fase</t>
  </si>
  <si>
    <t>E02-HU01-T01  Consultar las reservas existentes</t>
  </si>
  <si>
    <t>E02-HU01-T02  Revisar calendario con leyenda</t>
  </si>
  <si>
    <t>COSTO HH POR ROL</t>
  </si>
  <si>
    <t>E02-HU01-T03  Mostrar detalles básicos (cliente, hora y servicio) de la reserva</t>
  </si>
  <si>
    <t>JEFE DEPROYECTO</t>
  </si>
  <si>
    <t>E02-HU04</t>
  </si>
  <si>
    <t>E02-HU01-T04  Probar lista, calendario y detalles básicos</t>
  </si>
  <si>
    <t>ANALISTA F</t>
  </si>
  <si>
    <t>E02-HU02  Modificación y gestión de las reservas.</t>
  </si>
  <si>
    <t>E02-HU02-T01  Crear reserva en persona</t>
  </si>
  <si>
    <t>ADMIN. BASE DATOS</t>
  </si>
  <si>
    <t>Analista Funcional</t>
  </si>
  <si>
    <t>Programador</t>
  </si>
  <si>
    <t>Desarrollador BD</t>
  </si>
  <si>
    <t>Testing</t>
  </si>
  <si>
    <t>Diseñador</t>
  </si>
  <si>
    <t>Hrs.Sem.</t>
  </si>
  <si>
    <t>HRS.Mens.</t>
  </si>
  <si>
    <t>Sueldo/180hrs</t>
  </si>
  <si>
    <t>PROMEDIO</t>
  </si>
  <si>
    <t>INGENIERO</t>
  </si>
  <si>
    <t>Ingreso Primer Año</t>
  </si>
  <si>
    <t>Ingreso Experiencia</t>
  </si>
  <si>
    <t>ANALISTA PROGRAMADOR</t>
  </si>
  <si>
    <t>E02-HU02-T02  Modificar detalles de una reserva (reprogramar, modificar servicios, etc)</t>
  </si>
  <si>
    <t>E01-HU02</t>
  </si>
  <si>
    <t>E02-HU02-T03  Cancelar reservas</t>
  </si>
  <si>
    <t>E02-HU02-T04  Probar creación, modificación y cancelación.</t>
  </si>
  <si>
    <t>TOTAL HH</t>
  </si>
  <si>
    <t>E02-HU03  Bloqueo de días u horas de la agenda.</t>
  </si>
  <si>
    <t>E01-HU03</t>
  </si>
  <si>
    <t>E02-HU03-T01  Bloqueo de horas disponibles en el día</t>
  </si>
  <si>
    <t>COSTO POR COMPONENTE CODIFICACION</t>
  </si>
  <si>
    <t>E02-HU03-T02  Bloqueo de días, semanas o mes</t>
  </si>
  <si>
    <t>Análisis y planificación</t>
  </si>
  <si>
    <t>E02-HU03-T03  Desbloqueo de horas, días, semanas o mes + imposibilidad de modificar días pasados</t>
  </si>
  <si>
    <t>Arquitectura, BD y mockups</t>
  </si>
  <si>
    <t>E05-HU01</t>
  </si>
  <si>
    <t>E02-HU03-T04  Realizar registro de cambio en la bbdd</t>
  </si>
  <si>
    <t>Reserva cliente</t>
  </si>
  <si>
    <t>E02-HU03-T05  Probar bloqueos y desbloqueos</t>
  </si>
  <si>
    <t>Gestión reservas dueño</t>
  </si>
  <si>
    <t>E02-HU04  Dashboard con las operaciones del negocio.</t>
  </si>
  <si>
    <t>Auth y perfil</t>
  </si>
  <si>
    <t>E05-HU02</t>
  </si>
  <si>
    <t>E02-HU04-T01  Mostrar contador de reservas pendientes y confirmadas.</t>
  </si>
  <si>
    <t>Vista cliente / productos</t>
  </si>
  <si>
    <t>E02-HU04-T02  Calcular servicios más cotizados</t>
  </si>
  <si>
    <t>Admin catálogo</t>
  </si>
  <si>
    <t>E02-HU04-T03  Calculo de ingresos semanales, mensuales, trimestrales, semestrales, anuales.</t>
  </si>
  <si>
    <t>IA + WhatsApp + QA/cierre</t>
  </si>
  <si>
    <t>E02-HU04-T04  Probar dashboard</t>
  </si>
  <si>
    <t>TOTAL CODIFICACION</t>
  </si>
  <si>
    <t>E03-HU01</t>
  </si>
  <si>
    <t>Total Sprint 1</t>
  </si>
  <si>
    <t>Sprint 2 (14/09/2026 – 27/09/2026) — 10 días hábiles</t>
  </si>
  <si>
    <t>Precio del proyecto</t>
  </si>
  <si>
    <t>E01-HU02  Recomendación de la mejor hora para reservar.</t>
  </si>
  <si>
    <t>Diferencia fases − roles</t>
  </si>
  <si>
    <t>E01-HU02-T01  Identificación de la mejor hora del día dependiendo del servicio elegido</t>
  </si>
  <si>
    <t>S2</t>
  </si>
  <si>
    <t>Diferencia componentes − roles</t>
  </si>
  <si>
    <t>E03-HU02</t>
  </si>
  <si>
    <t>E01-HU02-T02  Identificación del mejor día de la semana dependiendo del servicio elegido</t>
  </si>
  <si>
    <t>E01-HU02-T03  Identificación de la mejor semana o mes dependiendo del servicio elegido</t>
  </si>
  <si>
    <t>Las tres tablas recorren las mismas horas del EDT y por eso suman el mismo precio. Análisis y diseño usan la fase 1. Desarrollo usa las tareas del PDF. Implementación y cierre usa la fase 3. IA, WhatsApp y el cierre van juntos en el último componente.</t>
  </si>
  <si>
    <t>E01-HU03  Calendario con las horas disponibles.</t>
  </si>
  <si>
    <t>E01-HU03-T01  Contruir calendario</t>
  </si>
  <si>
    <t>E01-HU03-T02  Mostrar horas agendadas y disponibles dependiendo del horario de trabajo, mostrando su duración</t>
  </si>
  <si>
    <t>E01-HU03-T03  Mostrar horas deshabilitadas</t>
  </si>
  <si>
    <t>E05-HU01  Vitrina de productos para el cliente.</t>
  </si>
  <si>
    <t>E03-HU03</t>
  </si>
  <si>
    <t>E05-HU01-T01  Listar productos disponibles en home</t>
  </si>
  <si>
    <t>E05-HU01-T02  Mostrar los 10 productos más usados/comprados</t>
  </si>
  <si>
    <t>E05-HU01-T03  Probar correcta visualización de productos</t>
  </si>
  <si>
    <t>E03-HU04</t>
  </si>
  <si>
    <t>E05-HU02  Reseñas de los servicios.</t>
  </si>
  <si>
    <t>E05-HU02-T01  Crear sistema de reseñas x servicio</t>
  </si>
  <si>
    <t>E05-HU02-T02  Mostrar reseñas en el detalle del servicio</t>
  </si>
  <si>
    <t>E05-HU02-T03  Calcular y mostrar promedio de estrellas</t>
  </si>
  <si>
    <t>E05-HU02-T04  Validar correcto funcionamiento del sistema y visualización</t>
  </si>
  <si>
    <t>E05-HU03</t>
  </si>
  <si>
    <t>Total Sprint 2</t>
  </si>
  <si>
    <t>Sprint 3 (28/09/2026 – 11/10/2026) — 10 días hábiles</t>
  </si>
  <si>
    <t>E03-HU01  Creación de una cuenta de usuario.</t>
  </si>
  <si>
    <t>E04-HU01</t>
  </si>
  <si>
    <t>E03-HU01-T01  Creación de inputs para las credenciales y datos del usuario</t>
  </si>
  <si>
    <t>S3</t>
  </si>
  <si>
    <t>E03-HU01-T02  Definir y aplicar politica de creación de contraseña</t>
  </si>
  <si>
    <t>E03-HU01-T03  Verificación de correo (activación y validez)</t>
  </si>
  <si>
    <t>E04-HU02</t>
  </si>
  <si>
    <t>E03-HU01-T04  Validar correo duplicado.</t>
  </si>
  <si>
    <t>E03-HU02  Inicio de sesión en el sistema.</t>
  </si>
  <si>
    <t>E03-HU02-T01  Creación de inputs (correo, contraseña)</t>
  </si>
  <si>
    <t>E04-HU03</t>
  </si>
  <si>
    <t>E03-HU02-T02  Validación de correo (verifica que haya un usuario con dicho correo)</t>
  </si>
  <si>
    <t>E03-HU02-T03  Validación de contraseña (verifica que la contraseña pertenezca al usuario con dicho correo)</t>
  </si>
  <si>
    <t>E03-HU02-T04  Muestra mensaje de credenciales invalidas</t>
  </si>
  <si>
    <t>E07-HU02</t>
  </si>
  <si>
    <t>E03-HU02-T05  Redirigir a las vistas correspondientes del rol del usuario</t>
  </si>
  <si>
    <t>E03-HU02-T06  Botón de "olvidé contraseña"</t>
  </si>
  <si>
    <t>E03-HU02-T07  Probar creación de cuenta</t>
  </si>
  <si>
    <t>E03-HU03  Cierre de sesión.</t>
  </si>
  <si>
    <t>E03-HU03-T01  El sistema elimina los datos locales de la sesión</t>
  </si>
  <si>
    <t>E07-HU03</t>
  </si>
  <si>
    <t>E03-HU03-T02  El sistema muestra la vista de usuario sin cuenta.</t>
  </si>
  <si>
    <t>E03-HU03-T03  Probar cerrado de sesión</t>
  </si>
  <si>
    <t>E03-HU04  Consulta y edición de los datos personales.</t>
  </si>
  <si>
    <t>E07-HU01</t>
  </si>
  <si>
    <t>E03-HU04-T01  Creación de página de perfil</t>
  </si>
  <si>
    <t>E03-HU04-T02  Mostrar la información sensible (personal) del cliente</t>
  </si>
  <si>
    <t>E03-HU04-T03  Listar servicios/productos comprados</t>
  </si>
  <si>
    <t>E03-HU04-T04  Modificar información sensible</t>
  </si>
  <si>
    <t>E03-HU04-T05  Probar modulo de página de perfil</t>
  </si>
  <si>
    <t>E05-HU03  Información de contacto y ubicación del local.</t>
  </si>
  <si>
    <t>E05-HU03-T01  Mostrar información de contacto y ubicación en pie de página</t>
  </si>
  <si>
    <t>E05-HU03-T02  Mostrar información de contacto y ubicación en página "acerca de"</t>
  </si>
  <si>
    <t>E05-HU03-T03  Validar correcta visualización</t>
  </si>
  <si>
    <t>E06-HU01</t>
  </si>
  <si>
    <t>Total Sprint 3</t>
  </si>
  <si>
    <t>Sprint 4 (12/10/2026 – 25/10/2026) — 10 días hábiles</t>
  </si>
  <si>
    <t>E04-HU01  Administración de las categorías del catálogo.</t>
  </si>
  <si>
    <t>E04-HU01-T01  Edición de categorías</t>
  </si>
  <si>
    <t>S4</t>
  </si>
  <si>
    <t>E04-HU01-T02  Registro de edición de la categoría</t>
  </si>
  <si>
    <t>E06-HU02</t>
  </si>
  <si>
    <t>E04-HU01-T03  Validación del cambio en bbdd</t>
  </si>
  <si>
    <t>E04-HU02  Gestión de los servicios de la peluquería.</t>
  </si>
  <si>
    <t>E04-HU02-T01  Edición de servicios</t>
  </si>
  <si>
    <t>TOTAL PDF</t>
  </si>
  <si>
    <t>E04-HU02-T02  Registro de edición de servicio</t>
  </si>
  <si>
    <t>E04-HU02-T03  Validación del cambio en bbdd</t>
  </si>
  <si>
    <t>E04-HU03  Gestión de los productos disponibles.</t>
  </si>
  <si>
    <t>E04-HU03-T01  Edición de producto</t>
  </si>
  <si>
    <t>E04-HU03-T02  Registro de edición de producto</t>
  </si>
  <si>
    <t>E04-HU03-T03  Validación del cambio en bbdd</t>
  </si>
  <si>
    <t>E07-HU02  Control de cuotas de la simulación.</t>
  </si>
  <si>
    <t>E07-HU02-T01  Implementar sistema de creditos por rol</t>
  </si>
  <si>
    <t>E07-HU02-T02  Asignar 3 creditos para usuarios normales</t>
  </si>
  <si>
    <t>E07-HU02-T03  Asignar creditos ilimiatados para el administrador y el peluquero</t>
  </si>
  <si>
    <t>E07-HU02-T04  Mostrar mensaje de alerta cada 2 simulaciones, avisando que queda 1 simulación disponible o que ya van 3 en caso de ser admin o peluquero</t>
  </si>
  <si>
    <t>E07-HU02-T05  Probar funcionamiento de los creditos y advertencias</t>
  </si>
  <si>
    <t>E07-HU03  Historial de simulaciones anteriores.</t>
  </si>
  <si>
    <t>E07-HU03-T01  Mostrar en recuadro, simulaciones previas</t>
  </si>
  <si>
    <t>E07-HU03-T02  Mostrar detalles de la simulación previa</t>
  </si>
  <si>
    <t>E07-HU03-T03  Eliminar y reiniciar cada 24 horas las simulaciones</t>
  </si>
  <si>
    <t>Total Sprint 4</t>
  </si>
  <si>
    <t>Sprint 5 (26/10/2026 – 08/11/2026) — 10 días hábiles</t>
  </si>
  <si>
    <t>E07-HU01  Simulación del corte de pelo con una foto.</t>
  </si>
  <si>
    <t>E07-HU01-T01  Pagar suscripción de agente IA</t>
  </si>
  <si>
    <t>S5</t>
  </si>
  <si>
    <t>E07-HU01-T02  Configurar el Agente IA</t>
  </si>
  <si>
    <t>E07-HU01-T03  Implementar agente IA en el sistema</t>
  </si>
  <si>
    <t>E07-HU01-T04  Sin nombre en el PDF (se conservan las 10 h)</t>
  </si>
  <si>
    <t>E07-HU01-T05  Implementar subida de foto y asegurar privacidad del usuario</t>
  </si>
  <si>
    <t>E07-HU01-T06  Implementar simulación con servicios ofrecidos por la peluquería</t>
  </si>
  <si>
    <t>E07-HU01-T07  Mostrar simulación</t>
  </si>
  <si>
    <t>E07-HU01-T08  Validar generación de la simulación</t>
  </si>
  <si>
    <t>E07-HU01-T09  Almacenar localmente la simulación</t>
  </si>
  <si>
    <t>E06-HU01  Reserva de horas desde WhatsApp.</t>
  </si>
  <si>
    <t>E06-HU01-T01  Agregar burbuja de chat</t>
  </si>
  <si>
    <t>E06-HU01-T02  Crear e implementar chats predefinidos</t>
  </si>
  <si>
    <t>E06-HU01-T03  Consultar disponibilidad de horas</t>
  </si>
  <si>
    <t>E06-HU01-T04  Registrar reserva (para validación x peluquero)</t>
  </si>
  <si>
    <t>E06-HU01-T05  Probar implementación</t>
  </si>
  <si>
    <t>E06-HU02  Conversación con la peluquería por WhatsApp.</t>
  </si>
  <si>
    <t>E06-HU02-T01  Implementar solicitud de atención por personal</t>
  </si>
  <si>
    <t>E06-HU02-T02  Configurar redirección a chat con peluquero</t>
  </si>
  <si>
    <t>E06-HU02-T03  Probar implementación</t>
  </si>
  <si>
    <t>Total Sprint 5</t>
  </si>
  <si>
    <t>Fase 3: Pruebas, levantamiento y despliegue</t>
  </si>
  <si>
    <t>Pruebas de calidad (QA), concurrencia y corrección de errores</t>
  </si>
  <si>
    <t>F3</t>
  </si>
  <si>
    <t>Despliegue en entorno de producción/hosting y configuración</t>
  </si>
  <si>
    <t>Capacitación al usuario final y cierre del proyecto (Sprint Review/Retro)</t>
  </si>
  <si>
    <t>Total Fase 3</t>
  </si>
  <si>
    <t>Total general</t>
  </si>
  <si>
    <t>Total tareas del PDF (E01 a E07)</t>
  </si>
  <si>
    <t>Debe ser 469. Cuenta solo las filas de tarea, no los totales de historia.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</si>
</sst>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_ &quot;$&quot;* #,##0_ ;_ &quot;$&quot;* \-#,##0_ ;_ &quot;$&quot;* &quot;-&quot;_ ;_ @_ "/>
  </numFmts>
  <fonts count="30">
    <font>
      <sz val="11.0"/>
      <color theme="1"/>
      <name val="Calibri"/>
      <scheme val="minor"/>
    </font>
    <font>
      <b/>
      <sz val="16.0"/>
      <color rgb="FF1F4E79"/>
      <name val="Calibri"/>
    </font>
    <font>
      <sz val="11.0"/>
      <color theme="1"/>
      <name val="Calibri"/>
    </font>
    <font>
      <sz val="10.0"/>
      <color rgb="FF595959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2E75B6"/>
      <name val="Calibri"/>
    </font>
    <font>
      <b/>
      <sz val="10.0"/>
      <color rgb="FF1F4E79"/>
      <name val="Calibri"/>
    </font>
    <font>
      <color theme="1"/>
      <name val="Calibri"/>
      <scheme val="minor"/>
    </font>
    <font>
      <b/>
      <sz val="11.0"/>
      <color rgb="FF0D7377"/>
      <name val="Calibri"/>
    </font>
    <font>
      <b/>
      <sz val="11.0"/>
      <color rgb="FF1F4E79"/>
      <name val="Calibri"/>
    </font>
    <font>
      <sz val="14.0"/>
      <color theme="1"/>
      <name val="Calibri"/>
    </font>
    <font>
      <b/>
      <sz val="11.0"/>
      <color theme="0"/>
      <name val="Calibri"/>
    </font>
    <font>
      <color theme="1"/>
      <name val="Calibri"/>
    </font>
    <font>
      <b/>
      <sz val="11.0"/>
      <color theme="1"/>
      <name val="Calibri"/>
    </font>
    <font>
      <b/>
      <sz val="11.0"/>
      <color rgb="FF7030A0"/>
      <name val="Calibri"/>
    </font>
    <font>
      <b/>
      <sz val="11.0"/>
      <color rgb="FF548235"/>
      <name val="Calibri"/>
    </font>
    <font>
      <b/>
      <sz val="12.0"/>
      <color rgb="FF1F4E79"/>
      <name val="Calibri"/>
    </font>
    <font>
      <b/>
      <sz val="14.0"/>
      <color rgb="FF1F4E79"/>
      <name val="Calibri"/>
    </font>
    <font>
      <i/>
      <sz val="9.0"/>
      <color rgb="FF595959"/>
      <name val="Calibri"/>
    </font>
    <font>
      <b/>
      <sz val="11.0"/>
      <color rgb="FFC65911"/>
      <name val="Calibri"/>
    </font>
    <font>
      <b/>
      <sz val="11.0"/>
      <color rgb="FFC00000"/>
      <name val="Calibri"/>
    </font>
    <font>
      <b/>
      <sz val="11.0"/>
      <color rgb="FFBF8F00"/>
      <name val="Calibri"/>
    </font>
    <font>
      <b/>
      <sz val="10.0"/>
      <color rgb="FF595959"/>
      <name val="Calibri"/>
    </font>
    <font>
      <b/>
      <sz val="11.0"/>
      <color rgb="FF595959"/>
      <name val="Calibri"/>
    </font>
    <font>
      <b/>
      <sz val="12.0"/>
      <color rgb="FF0D7377"/>
      <name val="Calibri"/>
    </font>
    <font>
      <b/>
      <sz val="14.0"/>
      <color rgb="FF0D737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  <fill>
      <patternFill patternType="solid">
        <fgColor rgb="FF0D7377"/>
        <bgColor rgb="FF0D7377"/>
      </patternFill>
    </fill>
    <fill>
      <patternFill patternType="solid">
        <fgColor rgb="FF2E75B6"/>
        <bgColor rgb="FF2E75B6"/>
      </patternFill>
    </fill>
    <fill>
      <patternFill patternType="solid">
        <fgColor theme="4"/>
        <bgColor theme="4"/>
      </patternFill>
    </fill>
    <fill>
      <patternFill patternType="solid">
        <fgColor rgb="FF595959"/>
        <bgColor rgb="FF595959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2" fontId="4" numFmtId="0" xfId="0" applyFill="1" applyFont="1"/>
    <xf borderId="2" fillId="2" fontId="5" numFmtId="0" xfId="0" applyAlignment="1" applyBorder="1" applyFill="1" applyFont="1">
      <alignment vertical="center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1" fillId="0" fontId="8" numFmtId="164" xfId="0" applyAlignment="1" applyBorder="1" applyFont="1" applyNumberFormat="1">
      <alignment vertical="center"/>
    </xf>
    <xf borderId="1" fillId="0" fontId="9" numFmtId="0" xfId="0" applyBorder="1" applyFont="1"/>
    <xf borderId="1" fillId="0" fontId="7" numFmtId="1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8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1" fillId="0" fontId="12" numFmtId="0" xfId="0" applyBorder="1" applyFont="1"/>
    <xf borderId="1" fillId="3" fontId="13" numFmtId="0" xfId="0" applyAlignment="1" applyBorder="1" applyFill="1" applyFont="1">
      <alignment shrinkToFit="0" vertical="center" wrapText="1"/>
    </xf>
    <xf borderId="1" fillId="3" fontId="13" numFmtId="1" xfId="0" applyAlignment="1" applyBorder="1" applyFill="1" applyFont="1" applyNumberFormat="1">
      <alignment horizontal="center" shrinkToFit="0" vertical="center" wrapText="1"/>
    </xf>
    <xf borderId="1" fillId="3" fontId="2" numFmtId="0" xfId="0" applyBorder="1" applyFill="1" applyFont="1"/>
    <xf borderId="2" fillId="4" fontId="5" numFmtId="0" xfId="0" applyAlignment="1" applyBorder="1" applyFill="1" applyFont="1">
      <alignment readingOrder="0" vertical="center"/>
    </xf>
    <xf borderId="2" fillId="5" fontId="5" numFmtId="0" xfId="0" applyAlignment="1" applyBorder="1" applyFill="1" applyFont="1">
      <alignment vertical="center"/>
    </xf>
    <xf borderId="1" fillId="3" fontId="9" numFmtId="0" xfId="0" applyAlignment="1" applyBorder="1" applyFill="1" applyFont="1">
      <alignment shrinkToFit="0" vertical="center" wrapText="1"/>
    </xf>
    <xf borderId="1" fillId="3" fontId="9" numFmtId="1" xfId="0" applyAlignment="1" applyBorder="1" applyFill="1" applyFont="1" applyNumberFormat="1">
      <alignment horizontal="center" shrinkToFit="0" vertical="center" wrapText="1"/>
    </xf>
    <xf borderId="0" fillId="2" fontId="5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right" vertical="center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left"/>
    </xf>
    <xf borderId="5" fillId="6" fontId="15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8" fillId="6" fontId="15" numFmtId="0" xfId="0" applyAlignment="1" applyBorder="1" applyFill="1" applyFont="1">
      <alignment horizontal="center"/>
    </xf>
    <xf borderId="8" fillId="0" fontId="2" numFmtId="0" xfId="0" applyBorder="1" applyFont="1"/>
    <xf borderId="8" fillId="0" fontId="2" numFmtId="0" xfId="0" applyAlignment="1" applyBorder="1" applyFont="1">
      <alignment horizontal="center"/>
    </xf>
    <xf borderId="8" fillId="0" fontId="2" numFmtId="9" xfId="0" applyAlignment="1" applyBorder="1" applyFont="1" applyNumberFormat="1">
      <alignment horizontal="center"/>
    </xf>
    <xf borderId="1" fillId="3" fontId="12" numFmtId="0" xfId="0" applyAlignment="1" applyBorder="1" applyFill="1" applyFont="1">
      <alignment shrinkToFit="0" vertical="center" wrapText="1"/>
    </xf>
    <xf borderId="1" fillId="3" fontId="12" numFmtId="1" xfId="0" applyAlignment="1" applyBorder="1" applyFill="1" applyFont="1" applyNumberFormat="1">
      <alignment horizontal="center" shrinkToFit="0" vertical="center" wrapText="1"/>
    </xf>
    <xf borderId="1" fillId="4" fontId="4" numFmtId="0" xfId="0" applyBorder="1" applyFill="1" applyFont="1"/>
    <xf borderId="1" fillId="4" fontId="4" numFmtId="164" xfId="0" applyBorder="1" applyFill="1" applyFont="1" applyNumberFormat="1"/>
    <xf borderId="0" fillId="0" fontId="2" numFmtId="0" xfId="0" applyAlignment="1" applyFont="1">
      <alignment horizontal="center" vertical="center"/>
    </xf>
    <xf borderId="8" fillId="0" fontId="2" numFmtId="165" xfId="0" applyBorder="1" applyFont="1" applyNumberFormat="1"/>
    <xf borderId="0" fillId="0" fontId="16" numFmtId="0" xfId="0" applyFont="1"/>
    <xf borderId="8" fillId="6" fontId="15" numFmtId="0" xfId="0" applyBorder="1" applyFill="1" applyFont="1"/>
    <xf borderId="8" fillId="0" fontId="17" numFmtId="0" xfId="0" applyBorder="1" applyFont="1"/>
    <xf borderId="1" fillId="0" fontId="18" numFmtId="0" xfId="0" applyBorder="1" applyFont="1"/>
    <xf borderId="1" fillId="0" fontId="19" numFmtId="0" xfId="0" applyBorder="1" applyFont="1"/>
    <xf borderId="2" fillId="4" fontId="5" numFmtId="0" xfId="0" applyAlignment="1" applyBorder="1" applyFill="1" applyFont="1">
      <alignment vertical="center"/>
    </xf>
    <xf borderId="0" fillId="0" fontId="20" numFmtId="0" xfId="0" applyFont="1"/>
    <xf borderId="0" fillId="0" fontId="21" numFmtId="164" xfId="0" applyFont="1" applyNumberFormat="1"/>
    <xf borderId="0" fillId="0" fontId="3" numFmtId="0" xfId="0" applyFont="1"/>
    <xf borderId="0" fillId="0" fontId="3" numFmtId="164" xfId="0" applyFont="1" applyNumberFormat="1"/>
    <xf borderId="0" fillId="0" fontId="22" numFmtId="0" xfId="0" applyAlignment="1" applyFont="1">
      <alignment shrinkToFit="0" vertical="top" wrapText="1"/>
    </xf>
    <xf borderId="1" fillId="3" fontId="18" numFmtId="0" xfId="0" applyAlignment="1" applyBorder="1" applyFill="1" applyFont="1">
      <alignment shrinkToFit="0" vertical="center" wrapText="1"/>
    </xf>
    <xf borderId="1" fillId="3" fontId="18" numFmtId="1" xfId="0" applyAlignment="1" applyBorder="1" applyFill="1" applyFont="1" applyNumberFormat="1">
      <alignment horizontal="center" shrinkToFit="0" vertical="center" wrapText="1"/>
    </xf>
    <xf borderId="1" fillId="3" fontId="19" numFmtId="0" xfId="0" applyAlignment="1" applyBorder="1" applyFill="1" applyFont="1">
      <alignment shrinkToFit="0" vertical="center" wrapText="1"/>
    </xf>
    <xf borderId="1" fillId="3" fontId="19" numFmtId="1" xfId="0" applyAlignment="1" applyBorder="1" applyFill="1" applyFont="1" applyNumberFormat="1">
      <alignment horizontal="center" shrinkToFit="0" vertical="center" wrapText="1"/>
    </xf>
    <xf borderId="1" fillId="0" fontId="23" numFmtId="0" xfId="0" applyBorder="1" applyFont="1"/>
    <xf borderId="1" fillId="0" fontId="24" numFmtId="0" xfId="0" applyBorder="1" applyFont="1"/>
    <xf borderId="1" fillId="0" fontId="25" numFmtId="0" xfId="0" applyBorder="1" applyFont="1"/>
    <xf borderId="1" fillId="3" fontId="23" numFmtId="0" xfId="0" applyAlignment="1" applyBorder="1" applyFill="1" applyFont="1">
      <alignment shrinkToFit="0" vertical="center" wrapText="1"/>
    </xf>
    <xf borderId="1" fillId="3" fontId="23" numFmtId="1" xfId="0" applyAlignment="1" applyBorder="1" applyFill="1" applyFont="1" applyNumberFormat="1">
      <alignment horizontal="center" shrinkToFit="0" vertical="center" wrapText="1"/>
    </xf>
    <xf borderId="0" fillId="4" fontId="4" numFmtId="0" xfId="0" applyFill="1" applyFont="1"/>
    <xf borderId="0" fillId="4" fontId="5" numFmtId="1" xfId="0" applyFill="1" applyFont="1" applyNumberFormat="1"/>
    <xf borderId="1" fillId="3" fontId="24" numFmtId="0" xfId="0" applyAlignment="1" applyBorder="1" applyFill="1" applyFont="1">
      <alignment shrinkToFit="0" vertical="center" wrapText="1"/>
    </xf>
    <xf borderId="1" fillId="3" fontId="24" numFmtId="1" xfId="0" applyAlignment="1" applyBorder="1" applyFill="1" applyFont="1" applyNumberFormat="1">
      <alignment horizontal="center" shrinkToFit="0" vertical="center" wrapText="1"/>
    </xf>
    <xf borderId="1" fillId="3" fontId="25" numFmtId="0" xfId="0" applyAlignment="1" applyBorder="1" applyFill="1" applyFont="1">
      <alignment shrinkToFit="0" vertical="center" wrapText="1"/>
    </xf>
    <xf borderId="1" fillId="3" fontId="25" numFmtId="1" xfId="0" applyAlignment="1" applyBorder="1" applyFill="1" applyFont="1" applyNumberFormat="1">
      <alignment horizontal="center" shrinkToFit="0" vertical="center" wrapText="1"/>
    </xf>
    <xf borderId="2" fillId="7" fontId="5" numFmtId="0" xfId="0" applyAlignment="1" applyBorder="1" applyFill="1" applyFont="1">
      <alignment vertical="center"/>
    </xf>
    <xf borderId="1" fillId="0" fontId="26" numFmtId="0" xfId="0" applyAlignment="1" applyBorder="1" applyFont="1">
      <alignment horizontal="center" shrinkToFit="0" vertical="center" wrapText="1"/>
    </xf>
    <xf borderId="1" fillId="3" fontId="27" numFmtId="0" xfId="0" applyAlignment="1" applyBorder="1" applyFill="1" applyFont="1">
      <alignment shrinkToFit="0" vertical="center" wrapText="1"/>
    </xf>
    <xf borderId="1" fillId="3" fontId="27" numFmtId="1" xfId="0" applyAlignment="1" applyBorder="1" applyFill="1" applyFont="1" applyNumberFormat="1">
      <alignment horizontal="center" shrinkToFit="0" vertical="center" wrapText="1"/>
    </xf>
    <xf borderId="1" fillId="2" fontId="5" numFmtId="0" xfId="0" applyBorder="1" applyFill="1" applyFont="1"/>
    <xf borderId="1" fillId="2" fontId="5" numFmtId="3" xfId="0" applyAlignment="1" applyBorder="1" applyFill="1" applyFont="1" applyNumberFormat="1">
      <alignment horizontal="center" shrinkToFit="0" vertical="center" wrapText="1"/>
    </xf>
    <xf borderId="0" fillId="0" fontId="28" numFmtId="0" xfId="0" applyFont="1"/>
    <xf borderId="0" fillId="0" fontId="29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9.png"/><Relationship Id="rId7" Type="http://schemas.openxmlformats.org/officeDocument/2006/relationships/image" Target="../media/image3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8.0"/>
    <col customWidth="1" min="2" max="2" width="12.0"/>
    <col customWidth="1" min="3" max="8" width="8.0"/>
    <col customWidth="1" min="9" max="9" width="16.0"/>
    <col customWidth="1" min="10" max="10" width="8.71"/>
    <col customWidth="1" min="11" max="11" width="8.0"/>
    <col customWidth="1" min="12" max="12" width="26.0"/>
    <col customWidth="1" min="13" max="13" width="20.0"/>
    <col customWidth="1" min="14" max="14" width="14.0"/>
    <col customWidth="1" min="15" max="15" width="8.71"/>
    <col customWidth="1" hidden="1" min="16" max="16" width="13.0"/>
    <col customWidth="1" min="17" max="17" width="8.71"/>
    <col customWidth="1" min="18" max="18" width="46.0"/>
    <col customWidth="1" min="19" max="19" width="16.0"/>
    <col customWidth="1" min="20" max="20" width="8.0"/>
    <col customWidth="1" min="21" max="22" width="14.0"/>
    <col customWidth="1" min="23" max="23" width="10.0"/>
    <col customWidth="1" min="24" max="26" width="8.71"/>
  </cols>
  <sheetData>
    <row r="1" ht="24.0" customHeight="1">
      <c r="A1" s="1" t="s">
        <v>0</v>
      </c>
      <c r="I1" s="2"/>
      <c r="K1" s="2"/>
      <c r="L1" s="2"/>
      <c r="M1" s="2"/>
      <c r="N1" s="2"/>
      <c r="P1" s="2"/>
      <c r="R1" s="2"/>
      <c r="S1" s="2"/>
      <c r="T1" s="2"/>
      <c r="U1" s="2"/>
      <c r="V1" s="2"/>
      <c r="W1" s="2"/>
    </row>
    <row r="2" ht="48.0" customHeight="1">
      <c r="A2" s="3" t="s">
        <v>1</v>
      </c>
      <c r="I2" s="2"/>
      <c r="K2" s="2"/>
      <c r="L2" s="2"/>
      <c r="M2" s="2"/>
      <c r="N2" s="2"/>
      <c r="P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K3" s="2"/>
      <c r="L3" s="2"/>
      <c r="M3" s="2"/>
      <c r="N3" s="2"/>
      <c r="P3" s="2"/>
      <c r="R3" s="2"/>
      <c r="S3" s="2"/>
      <c r="T3" s="2"/>
      <c r="U3" s="2"/>
      <c r="V3" s="2"/>
      <c r="W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P4" s="2"/>
      <c r="R4" s="2"/>
      <c r="S4" s="2"/>
      <c r="T4" s="2"/>
      <c r="U4" s="5" t="s">
        <v>15</v>
      </c>
      <c r="V4" s="5" t="s">
        <v>16</v>
      </c>
      <c r="W4" s="5" t="s">
        <v>17</v>
      </c>
    </row>
    <row r="5" ht="21.75" customHeight="1">
      <c r="A5" s="6" t="s">
        <v>18</v>
      </c>
      <c r="B5" s="7"/>
      <c r="C5" s="7"/>
      <c r="D5" s="7"/>
      <c r="E5" s="7"/>
      <c r="F5" s="7"/>
      <c r="G5" s="7"/>
      <c r="H5" s="7"/>
      <c r="I5" s="8"/>
      <c r="K5" s="9" t="s">
        <v>4</v>
      </c>
      <c r="L5" s="10" t="s">
        <v>19</v>
      </c>
      <c r="M5" s="10" t="s">
        <v>20</v>
      </c>
      <c r="N5" s="11">
        <v>10833.33333333333</v>
      </c>
      <c r="P5" s="2"/>
      <c r="R5" s="2"/>
      <c r="S5" s="2"/>
      <c r="T5" s="2"/>
      <c r="U5" s="12" t="s">
        <v>21</v>
      </c>
      <c r="V5" s="13">
        <f t="shared" ref="V5:V94" si="1">SUMIF($I:$I,U5,$B:$B)</f>
        <v>20</v>
      </c>
      <c r="W5" s="14">
        <v>1.0</v>
      </c>
    </row>
    <row r="6" ht="18.0" customHeight="1">
      <c r="A6" s="15" t="s">
        <v>22</v>
      </c>
      <c r="B6" s="13">
        <v>3.0</v>
      </c>
      <c r="C6" s="16">
        <v>3.0</v>
      </c>
      <c r="D6" s="17"/>
      <c r="E6" s="17"/>
      <c r="F6" s="17"/>
      <c r="G6" s="17"/>
      <c r="H6" s="17"/>
      <c r="I6" s="18" t="s">
        <v>23</v>
      </c>
      <c r="K6" s="9" t="s">
        <v>5</v>
      </c>
      <c r="L6" s="10" t="s">
        <v>24</v>
      </c>
      <c r="M6" s="10" t="s">
        <v>25</v>
      </c>
      <c r="N6" s="11">
        <v>7222.222222222223</v>
      </c>
      <c r="P6" s="19" t="s">
        <v>23</v>
      </c>
      <c r="R6" s="2"/>
      <c r="S6" s="2"/>
      <c r="T6" s="2"/>
      <c r="U6" s="12" t="s">
        <v>21</v>
      </c>
      <c r="V6" s="13">
        <f t="shared" si="1"/>
        <v>20</v>
      </c>
      <c r="W6" s="14">
        <v>1.0</v>
      </c>
    </row>
    <row r="7" ht="18.0" customHeight="1">
      <c r="A7" s="15" t="s">
        <v>26</v>
      </c>
      <c r="B7" s="13">
        <v>3.0</v>
      </c>
      <c r="C7" s="16">
        <v>3.0</v>
      </c>
      <c r="D7" s="17"/>
      <c r="E7" s="17"/>
      <c r="F7" s="17"/>
      <c r="G7" s="17"/>
      <c r="H7" s="17"/>
      <c r="I7" s="18" t="s">
        <v>23</v>
      </c>
      <c r="K7" s="9" t="s">
        <v>6</v>
      </c>
      <c r="L7" s="10" t="s">
        <v>27</v>
      </c>
      <c r="M7" s="10" t="s">
        <v>28</v>
      </c>
      <c r="N7" s="11">
        <v>2777.777777777778</v>
      </c>
      <c r="P7" s="19" t="s">
        <v>23</v>
      </c>
      <c r="R7" s="2"/>
      <c r="S7" s="2"/>
      <c r="T7" s="2"/>
      <c r="U7" s="12" t="s">
        <v>21</v>
      </c>
      <c r="V7" s="13">
        <f t="shared" si="1"/>
        <v>20</v>
      </c>
      <c r="W7" s="14">
        <v>1.0</v>
      </c>
    </row>
    <row r="8" ht="18.0" customHeight="1">
      <c r="A8" s="15" t="s">
        <v>29</v>
      </c>
      <c r="B8" s="13">
        <v>6.0</v>
      </c>
      <c r="C8" s="16">
        <v>4.0</v>
      </c>
      <c r="D8" s="16">
        <v>2.0</v>
      </c>
      <c r="E8" s="17"/>
      <c r="F8" s="17"/>
      <c r="G8" s="17"/>
      <c r="H8" s="17"/>
      <c r="I8" s="18" t="s">
        <v>23</v>
      </c>
      <c r="K8" s="9" t="s">
        <v>7</v>
      </c>
      <c r="L8" s="10" t="s">
        <v>30</v>
      </c>
      <c r="M8" s="10" t="s">
        <v>28</v>
      </c>
      <c r="N8" s="11">
        <v>3611.111111111111</v>
      </c>
      <c r="P8" s="19" t="s">
        <v>23</v>
      </c>
      <c r="R8" s="2"/>
      <c r="S8" s="2"/>
      <c r="T8" s="2"/>
      <c r="U8" s="12" t="s">
        <v>21</v>
      </c>
      <c r="V8" s="13">
        <f t="shared" si="1"/>
        <v>20</v>
      </c>
      <c r="W8" s="14">
        <v>1.0</v>
      </c>
    </row>
    <row r="9" ht="18.0" customHeight="1">
      <c r="A9" s="15" t="s">
        <v>31</v>
      </c>
      <c r="B9" s="13">
        <v>6.0</v>
      </c>
      <c r="C9" s="16">
        <v>2.0</v>
      </c>
      <c r="D9" s="16">
        <v>4.0</v>
      </c>
      <c r="E9" s="17"/>
      <c r="F9" s="17"/>
      <c r="G9" s="17"/>
      <c r="H9" s="17"/>
      <c r="I9" s="18" t="s">
        <v>23</v>
      </c>
      <c r="K9" s="9" t="s">
        <v>8</v>
      </c>
      <c r="L9" s="10" t="s">
        <v>32</v>
      </c>
      <c r="M9" s="10" t="s">
        <v>25</v>
      </c>
      <c r="N9" s="11">
        <v>2777.777777777778</v>
      </c>
      <c r="P9" s="19" t="s">
        <v>23</v>
      </c>
      <c r="R9" s="2"/>
      <c r="S9" s="2"/>
      <c r="T9" s="2"/>
      <c r="U9" s="20" t="s">
        <v>33</v>
      </c>
      <c r="V9" s="13">
        <f t="shared" si="1"/>
        <v>18</v>
      </c>
      <c r="W9" s="14">
        <v>1.0</v>
      </c>
    </row>
    <row r="10" ht="18.0" customHeight="1">
      <c r="A10" s="15" t="s">
        <v>34</v>
      </c>
      <c r="B10" s="13">
        <v>18.0</v>
      </c>
      <c r="C10" s="16">
        <v>2.0</v>
      </c>
      <c r="D10" s="16">
        <v>4.0</v>
      </c>
      <c r="E10" s="16">
        <v>4.0</v>
      </c>
      <c r="F10" s="17"/>
      <c r="G10" s="16">
        <v>4.0</v>
      </c>
      <c r="H10" s="16">
        <v>4.0</v>
      </c>
      <c r="I10" s="18" t="s">
        <v>23</v>
      </c>
      <c r="K10" s="9" t="s">
        <v>9</v>
      </c>
      <c r="L10" s="10" t="s">
        <v>35</v>
      </c>
      <c r="M10" s="10" t="s">
        <v>20</v>
      </c>
      <c r="N10" s="11">
        <v>2777.777777777778</v>
      </c>
      <c r="P10" s="19" t="s">
        <v>23</v>
      </c>
      <c r="R10" s="2"/>
      <c r="S10" s="2"/>
      <c r="T10" s="2"/>
      <c r="U10" s="20" t="s">
        <v>33</v>
      </c>
      <c r="V10" s="13">
        <f t="shared" si="1"/>
        <v>18</v>
      </c>
      <c r="W10" s="14">
        <v>1.0</v>
      </c>
    </row>
    <row r="11" ht="19.5" customHeight="1">
      <c r="A11" s="21" t="s">
        <v>36</v>
      </c>
      <c r="B11" s="22">
        <f>SUMIF($P:$P,"F1",C:C)+SUMIF($P:$P,"F1",D:D)+SUMIF($P:$P,"F1",E:E)+SUMIF($P:$P,"F1",F:F)+SUMIF($P:$P,"F1",G:G)+SUMIF($P:$P,"F1",H:H)</f>
        <v>36</v>
      </c>
      <c r="C11" s="23"/>
      <c r="D11" s="23"/>
      <c r="E11" s="23"/>
      <c r="F11" s="23"/>
      <c r="G11" s="23"/>
      <c r="H11" s="23"/>
      <c r="I11" s="23"/>
      <c r="K11" s="2"/>
      <c r="L11" s="2"/>
      <c r="M11" s="2"/>
      <c r="N11" s="2"/>
      <c r="P11" s="2"/>
      <c r="R11" s="2"/>
      <c r="S11" s="2"/>
      <c r="T11" s="2"/>
      <c r="U11" s="20" t="s">
        <v>33</v>
      </c>
      <c r="V11" s="13">
        <f t="shared" si="1"/>
        <v>18</v>
      </c>
      <c r="W11" s="14">
        <v>1.0</v>
      </c>
    </row>
    <row r="12" ht="21.75" customHeight="1">
      <c r="A12" s="24" t="s">
        <v>37</v>
      </c>
      <c r="B12" s="7"/>
      <c r="C12" s="7"/>
      <c r="D12" s="7"/>
      <c r="E12" s="7"/>
      <c r="F12" s="7"/>
      <c r="G12" s="7"/>
      <c r="H12" s="7"/>
      <c r="I12" s="8"/>
      <c r="K12" s="2"/>
      <c r="L12" s="2"/>
      <c r="M12" s="2"/>
      <c r="N12" s="2"/>
      <c r="P12" s="2"/>
      <c r="R12" s="2"/>
      <c r="S12" s="2"/>
      <c r="T12" s="2"/>
      <c r="U12" s="20" t="s">
        <v>33</v>
      </c>
      <c r="V12" s="13">
        <f t="shared" si="1"/>
        <v>18</v>
      </c>
      <c r="W12" s="14">
        <v>1.0</v>
      </c>
    </row>
    <row r="13" ht="21.75" customHeight="1">
      <c r="A13" s="25" t="s">
        <v>38</v>
      </c>
      <c r="B13" s="7"/>
      <c r="C13" s="7"/>
      <c r="D13" s="7"/>
      <c r="E13" s="7"/>
      <c r="F13" s="7"/>
      <c r="G13" s="7"/>
      <c r="H13" s="7"/>
      <c r="I13" s="8"/>
      <c r="K13" s="2"/>
      <c r="L13" s="2"/>
      <c r="M13" s="2"/>
      <c r="N13" s="2"/>
      <c r="P13" s="2"/>
      <c r="R13" s="2"/>
      <c r="S13" s="2"/>
      <c r="T13" s="2"/>
      <c r="U13" s="20" t="s">
        <v>39</v>
      </c>
      <c r="V13" s="13">
        <f t="shared" si="1"/>
        <v>22</v>
      </c>
      <c r="W13" s="14">
        <v>1.0</v>
      </c>
    </row>
    <row r="14" ht="19.5" customHeight="1">
      <c r="A14" s="26" t="s">
        <v>40</v>
      </c>
      <c r="B14" s="27">
        <f>SUMIF($I:$I,"E01-HU01",C:C)+SUMIF($I:$I,"E01-HU01",D:D)+SUMIF($I:$I,"E01-HU01",E:E)+SUMIF($I:$I,"E01-HU01",F:F)+SUMIF($I:$I,"E01-HU01",G:G)+SUMIF($I:$I,"E01-HU01",H:H)</f>
        <v>20</v>
      </c>
      <c r="C14" s="23"/>
      <c r="D14" s="23"/>
      <c r="E14" s="23"/>
      <c r="F14" s="23"/>
      <c r="G14" s="23"/>
      <c r="H14" s="23"/>
      <c r="I14" s="23"/>
      <c r="K14" s="2"/>
      <c r="L14" s="2"/>
      <c r="M14" s="2"/>
      <c r="N14" s="2"/>
      <c r="P14" s="2"/>
      <c r="R14" s="28" t="s">
        <v>41</v>
      </c>
      <c r="T14" s="2"/>
      <c r="U14" s="20" t="s">
        <v>39</v>
      </c>
      <c r="V14" s="13">
        <f t="shared" si="1"/>
        <v>22</v>
      </c>
      <c r="W14" s="14">
        <v>1.0</v>
      </c>
    </row>
    <row r="15" ht="18.0" customHeight="1">
      <c r="A15" s="15" t="s">
        <v>42</v>
      </c>
      <c r="B15" s="13">
        <v>6.0</v>
      </c>
      <c r="C15" s="17"/>
      <c r="D15" s="17"/>
      <c r="E15" s="16">
        <v>6.0</v>
      </c>
      <c r="F15" s="17"/>
      <c r="G15" s="17"/>
      <c r="H15" s="17"/>
      <c r="I15" s="18" t="s">
        <v>21</v>
      </c>
      <c r="K15" s="2"/>
      <c r="L15" s="2"/>
      <c r="M15" s="2"/>
      <c r="N15" s="2"/>
      <c r="P15" s="19" t="s">
        <v>43</v>
      </c>
      <c r="R15" s="29" t="s">
        <v>44</v>
      </c>
      <c r="S15" s="30">
        <f>ROUND(C6*$N$5+D6*$N$6+E6*$N$7+F6*$N$8+G6*$N$9+H6*$N$10+C7*$N$5+D7*$N$6+E7*$N$7+F7*$N$8+G7*$N$9+H7*$N$10+C8*$N$5+D8*$N$6+E8*$N$7+F8*$N$8+G8*$N$9+H8*$N$10+C9*$N$5+D9*$N$6+E9*$N$7+F9*$N$8+G9*$N$9+H9*$N$10,0)</f>
        <v>173333</v>
      </c>
      <c r="T15" s="2"/>
      <c r="U15" s="20" t="s">
        <v>39</v>
      </c>
      <c r="V15" s="13">
        <f t="shared" si="1"/>
        <v>22</v>
      </c>
      <c r="W15" s="14">
        <v>1.0</v>
      </c>
    </row>
    <row r="16" ht="18.0" customHeight="1">
      <c r="A16" s="15" t="s">
        <v>45</v>
      </c>
      <c r="B16" s="13">
        <v>4.0</v>
      </c>
      <c r="C16" s="17"/>
      <c r="D16" s="17"/>
      <c r="E16" s="16">
        <v>4.0</v>
      </c>
      <c r="F16" s="17"/>
      <c r="G16" s="17"/>
      <c r="H16" s="17"/>
      <c r="I16" s="18" t="s">
        <v>21</v>
      </c>
      <c r="K16" s="2"/>
      <c r="L16" s="2"/>
      <c r="M16" s="2"/>
      <c r="N16" s="2"/>
      <c r="P16" s="19" t="s">
        <v>43</v>
      </c>
      <c r="R16" s="29" t="s">
        <v>46</v>
      </c>
      <c r="S16" s="30">
        <f>ROUND(C10*$N$5+D10*$N$6+E10*$N$7+F10*$N$8+G10*$N$9+H10*$N$10,0)</f>
        <v>83889</v>
      </c>
      <c r="T16" s="2"/>
      <c r="U16" s="20" t="s">
        <v>39</v>
      </c>
      <c r="V16" s="13">
        <f t="shared" si="1"/>
        <v>22</v>
      </c>
      <c r="W16" s="14">
        <v>1.0</v>
      </c>
    </row>
    <row r="17" ht="18.0" customHeight="1">
      <c r="A17" s="15" t="s">
        <v>47</v>
      </c>
      <c r="B17" s="13">
        <v>6.0</v>
      </c>
      <c r="C17" s="17"/>
      <c r="D17" s="17"/>
      <c r="E17" s="17"/>
      <c r="F17" s="16">
        <v>6.0</v>
      </c>
      <c r="G17" s="17"/>
      <c r="H17" s="17"/>
      <c r="I17" s="18" t="s">
        <v>21</v>
      </c>
      <c r="K17" s="2"/>
      <c r="L17" s="2"/>
      <c r="M17" s="2"/>
      <c r="N17" s="2"/>
      <c r="P17" s="19" t="s">
        <v>43</v>
      </c>
      <c r="R17" s="29" t="s">
        <v>48</v>
      </c>
      <c r="S17" s="30">
        <f>ROUND(SUMIF($I:$I,"E01*",C:C)*$N$5+SUMIF($I:$I,"E01*",D:D)*$N$6+SUMIF($I:$I,"E01*",E:E)*$N$7+SUMIF($I:$I,"E01*",F:F)*$N$8+SUMIF($I:$I,"E01*",G:G)*$N$9+SUMIF($I:$I,"E01*",H:H)*$N$10+SUMIF($I:$I,"E02*",C:C)*$N$5+SUMIF($I:$I,"E02*",D:D)*$N$6+SUMIF($I:$I,"E02*",E:E)*$N$7+SUMIF($I:$I,"E02*",F:F)*$N$8+SUMIF($I:$I,"E02*",G:G)*$N$9+SUMIF($I:$I,"E02*",H:H)*$N$10+SUMIF($I:$I,"E03*",C:C)*$N$5+SUMIF($I:$I,"E03*",D:D)*$N$6+SUMIF($I:$I,"E03*",E:E)*$N$7+SUMIF($I:$I,"E03*",F:F)*$N$8+SUMIF($I:$I,"E03*",G:G)*$N$9+SUMIF($I:$I,"E03*",H:H)*$N$10+SUMIF($I:$I,"E04*",C:C)*$N$5+SUMIF($I:$I,"E04*",D:D)*$N$6+SUMIF($I:$I,"E04*",E:E)*$N$7+SUMIF($I:$I,"E04*",F:F)*$N$8+SUMIF($I:$I,"E04*",G:G)*$N$9+SUMIF($I:$I,"E04*",H:H)*$N$10+SUMIF($I:$I,"E05*",C:C)*$N$5+SUMIF($I:$I,"E05*",D:D)*$N$6+SUMIF($I:$I,"E05*",E:E)*$N$7+SUMIF($I:$I,"E05*",F:F)*$N$8+SUMIF($I:$I,"E05*",G:G)*$N$9+SUMIF($I:$I,"E05*",H:H)*$N$10+SUMIF($I:$I,"E06*",C:C)*$N$5+SUMIF($I:$I,"E06*",D:D)*$N$6+SUMIF($I:$I,"E06*",E:E)*$N$7+SUMIF($I:$I,"E06*",F:F)*$N$8+SUMIF($I:$I,"E06*",G:G)*$N$9+SUMIF($I:$I,"E06*",H:H)*$N$10+SUMIF($I:$I,"E07*",C:C)*$N$5+SUMIF($I:$I,"E07*",D:D)*$N$6+SUMIF($I:$I,"E07*",E:E)*$N$7+SUMIF($I:$I,"E07*",F:F)*$N$8+SUMIF($I:$I,"E07*",G:G)*$N$9+SUMIF($I:$I,"E07*",H:H)*$N$10,0)</f>
        <v>1365833</v>
      </c>
      <c r="T17" s="2"/>
      <c r="U17" s="20" t="s">
        <v>59</v>
      </c>
      <c r="V17" s="13">
        <f t="shared" si="1"/>
        <v>23</v>
      </c>
      <c r="W17" s="14">
        <v>1.0</v>
      </c>
    </row>
    <row r="18" ht="18.0" customHeight="1">
      <c r="A18" s="15" t="s">
        <v>60</v>
      </c>
      <c r="B18" s="13">
        <v>4.0</v>
      </c>
      <c r="C18" s="17"/>
      <c r="D18" s="17"/>
      <c r="E18" s="17"/>
      <c r="F18" s="17"/>
      <c r="G18" s="16">
        <v>4.0</v>
      </c>
      <c r="H18" s="17"/>
      <c r="I18" s="18" t="s">
        <v>21</v>
      </c>
      <c r="K18" s="2"/>
      <c r="L18" s="2"/>
      <c r="M18" s="2"/>
      <c r="N18" s="2"/>
      <c r="P18" s="19" t="s">
        <v>43</v>
      </c>
      <c r="R18" s="29" t="s">
        <v>61</v>
      </c>
      <c r="S18" s="30">
        <f>ROUND(SUMIF($I:$I,"F3",C:C)*$N$5+SUMIF($I:$I,"F3",D:D)*$N$6+SUMIF($I:$I,"F3",E:E)*$N$7+SUMIF($I:$I,"F3",F:F)*$N$8+SUMIF($I:$I,"F3",G:G)*$N$9+SUMIF($I:$I,"F3",H:H)*$N$10,0)</f>
        <v>307222</v>
      </c>
      <c r="T18" s="2"/>
      <c r="U18" s="20" t="s">
        <v>59</v>
      </c>
      <c r="V18" s="13">
        <f t="shared" si="1"/>
        <v>23</v>
      </c>
      <c r="W18" s="14">
        <v>1.0</v>
      </c>
    </row>
    <row r="19" ht="18.0" customHeight="1">
      <c r="A19" s="40" t="s">
        <v>62</v>
      </c>
      <c r="B19" s="41">
        <f>SUMIF($I:$I,"E02-HU01",C:C)+SUMIF($I:$I,"E02-HU01",D:D)+SUMIF($I:$I,"E02-HU01",E:E)+SUMIF($I:$I,"E02-HU01",F:F)+SUMIF($I:$I,"E02-HU01",G:G)+SUMIF($I:$I,"E02-HU01",H:H)</f>
        <v>18</v>
      </c>
      <c r="C19" s="23"/>
      <c r="D19" s="23"/>
      <c r="E19" s="23"/>
      <c r="F19" s="23"/>
      <c r="G19" s="23"/>
      <c r="H19" s="23"/>
      <c r="I19" s="23"/>
      <c r="K19" s="2"/>
      <c r="L19" s="2"/>
      <c r="M19" s="2"/>
      <c r="N19" s="2"/>
      <c r="P19" s="2"/>
      <c r="R19" s="42" t="s">
        <v>63</v>
      </c>
      <c r="S19" s="43">
        <f>SUM(S15:S18)</f>
        <v>1930277</v>
      </c>
      <c r="T19" s="2"/>
      <c r="U19" s="20" t="s">
        <v>59</v>
      </c>
      <c r="V19" s="13">
        <f t="shared" si="1"/>
        <v>23</v>
      </c>
      <c r="W19" s="14">
        <v>1.0</v>
      </c>
    </row>
    <row r="20" ht="18.0" customHeight="1">
      <c r="A20" s="15" t="s">
        <v>64</v>
      </c>
      <c r="B20" s="13">
        <v>5.0</v>
      </c>
      <c r="C20" s="17"/>
      <c r="D20" s="17"/>
      <c r="E20" s="16">
        <v>5.0</v>
      </c>
      <c r="F20" s="17"/>
      <c r="G20" s="17"/>
      <c r="H20" s="17"/>
      <c r="I20" s="18" t="s">
        <v>33</v>
      </c>
      <c r="K20" s="2"/>
      <c r="L20" s="2"/>
      <c r="M20" s="2"/>
      <c r="N20" s="2"/>
      <c r="P20" s="19" t="s">
        <v>43</v>
      </c>
      <c r="R20" s="2"/>
      <c r="S20" s="2"/>
      <c r="T20" s="2"/>
      <c r="U20" s="20" t="s">
        <v>59</v>
      </c>
      <c r="V20" s="13">
        <f t="shared" si="1"/>
        <v>23</v>
      </c>
      <c r="W20" s="14">
        <v>1.0</v>
      </c>
    </row>
    <row r="21" ht="19.5" customHeight="1">
      <c r="A21" s="15" t="s">
        <v>65</v>
      </c>
      <c r="B21" s="13">
        <v>5.0</v>
      </c>
      <c r="C21" s="17"/>
      <c r="D21" s="17"/>
      <c r="E21" s="17"/>
      <c r="F21" s="17"/>
      <c r="G21" s="17"/>
      <c r="H21" s="16">
        <v>5.0</v>
      </c>
      <c r="I21" s="18" t="s">
        <v>33</v>
      </c>
      <c r="K21" s="2"/>
      <c r="L21" s="2"/>
      <c r="M21" s="2"/>
      <c r="N21" s="2"/>
      <c r="P21" s="19" t="s">
        <v>43</v>
      </c>
      <c r="R21" s="28" t="s">
        <v>66</v>
      </c>
      <c r="T21" s="2"/>
      <c r="U21" s="20" t="s">
        <v>59</v>
      </c>
      <c r="V21" s="13">
        <f t="shared" si="1"/>
        <v>23</v>
      </c>
      <c r="W21" s="14">
        <v>1.0</v>
      </c>
    </row>
    <row r="22" ht="18.0" customHeight="1">
      <c r="A22" s="15" t="s">
        <v>67</v>
      </c>
      <c r="B22" s="13">
        <v>4.0</v>
      </c>
      <c r="C22" s="17"/>
      <c r="D22" s="17"/>
      <c r="E22" s="17"/>
      <c r="F22" s="17"/>
      <c r="G22" s="17"/>
      <c r="H22" s="16">
        <v>4.0</v>
      </c>
      <c r="I22" s="18" t="s">
        <v>33</v>
      </c>
      <c r="K22" s="2"/>
      <c r="L22" s="2"/>
      <c r="M22" s="2"/>
      <c r="N22" s="2"/>
      <c r="P22" s="19" t="s">
        <v>43</v>
      </c>
      <c r="R22" s="29" t="s">
        <v>68</v>
      </c>
      <c r="S22" s="30">
        <f>ROUND(C140*$N$5,0)</f>
        <v>238333</v>
      </c>
      <c r="T22" s="44"/>
      <c r="U22" s="20" t="s">
        <v>69</v>
      </c>
      <c r="V22" s="13">
        <f t="shared" si="1"/>
        <v>22</v>
      </c>
      <c r="W22" s="14">
        <v>1.0</v>
      </c>
    </row>
    <row r="23" ht="18.0" customHeight="1">
      <c r="A23" s="15" t="s">
        <v>70</v>
      </c>
      <c r="B23" s="13">
        <v>4.0</v>
      </c>
      <c r="C23" s="17"/>
      <c r="D23" s="17"/>
      <c r="E23" s="17"/>
      <c r="F23" s="17"/>
      <c r="G23" s="16">
        <v>4.0</v>
      </c>
      <c r="H23" s="17"/>
      <c r="I23" s="18" t="s">
        <v>33</v>
      </c>
      <c r="K23" s="2"/>
      <c r="L23" s="2"/>
      <c r="M23" s="2"/>
      <c r="N23" s="2"/>
      <c r="P23" s="19" t="s">
        <v>43</v>
      </c>
      <c r="R23" s="29" t="s">
        <v>71</v>
      </c>
      <c r="S23" s="30">
        <f>ROUND(D140*$N$6,0)</f>
        <v>151667</v>
      </c>
      <c r="T23" s="44"/>
      <c r="U23" s="20" t="s">
        <v>69</v>
      </c>
      <c r="V23" s="13">
        <f t="shared" si="1"/>
        <v>22</v>
      </c>
      <c r="W23" s="14">
        <v>1.0</v>
      </c>
    </row>
    <row r="24" ht="18.0" customHeight="1">
      <c r="A24" s="40" t="s">
        <v>72</v>
      </c>
      <c r="B24" s="41">
        <f>SUMIF($I:$I,"E02-HU02",C:C)+SUMIF($I:$I,"E02-HU02",D:D)+SUMIF($I:$I,"E02-HU02",E:E)+SUMIF($I:$I,"E02-HU02",F:F)+SUMIF($I:$I,"E02-HU02",G:G)+SUMIF($I:$I,"E02-HU02",H:H)</f>
        <v>22</v>
      </c>
      <c r="C24" s="23"/>
      <c r="D24" s="23"/>
      <c r="E24" s="23"/>
      <c r="F24" s="23"/>
      <c r="G24" s="23"/>
      <c r="H24" s="23"/>
      <c r="I24" s="23"/>
      <c r="K24" s="2"/>
      <c r="L24" s="2"/>
      <c r="M24" s="2"/>
      <c r="N24" s="2"/>
      <c r="P24" s="2"/>
      <c r="R24" s="29" t="s">
        <v>27</v>
      </c>
      <c r="S24" s="30">
        <f>ROUND(E140*$N$7,0)</f>
        <v>733333</v>
      </c>
      <c r="T24" s="44"/>
      <c r="U24" s="20" t="s">
        <v>69</v>
      </c>
      <c r="V24" s="13">
        <f t="shared" si="1"/>
        <v>22</v>
      </c>
      <c r="W24" s="14">
        <v>1.0</v>
      </c>
    </row>
    <row r="25" ht="18.0" customHeight="1">
      <c r="A25" s="15" t="s">
        <v>73</v>
      </c>
      <c r="B25" s="13">
        <v>6.0</v>
      </c>
      <c r="C25" s="17"/>
      <c r="D25" s="17"/>
      <c r="E25" s="16">
        <v>6.0</v>
      </c>
      <c r="F25" s="17"/>
      <c r="G25" s="17"/>
      <c r="H25" s="17"/>
      <c r="I25" s="18" t="s">
        <v>39</v>
      </c>
      <c r="K25" s="2"/>
      <c r="L25" s="2"/>
      <c r="M25" s="2"/>
      <c r="N25" s="2"/>
      <c r="P25" s="19" t="s">
        <v>43</v>
      </c>
      <c r="R25" s="29" t="s">
        <v>74</v>
      </c>
      <c r="S25" s="30">
        <f>ROUND(F140*$N$8,0)</f>
        <v>162500</v>
      </c>
      <c r="T25" s="44"/>
      <c r="U25" s="20" t="s">
        <v>69</v>
      </c>
      <c r="V25" s="13">
        <f t="shared" si="1"/>
        <v>22</v>
      </c>
      <c r="W25" s="14">
        <v>1.0</v>
      </c>
    </row>
    <row r="26" ht="18.0" customHeight="1">
      <c r="A26" s="15" t="s">
        <v>88</v>
      </c>
      <c r="B26" s="13">
        <v>7.0</v>
      </c>
      <c r="C26" s="17"/>
      <c r="D26" s="17"/>
      <c r="E26" s="16">
        <v>7.0</v>
      </c>
      <c r="F26" s="17"/>
      <c r="G26" s="17"/>
      <c r="H26" s="17"/>
      <c r="I26" s="18" t="s">
        <v>39</v>
      </c>
      <c r="K26" s="2"/>
      <c r="L26" s="2"/>
      <c r="M26" s="2"/>
      <c r="N26" s="2"/>
      <c r="P26" s="19" t="s">
        <v>43</v>
      </c>
      <c r="R26" s="29" t="s">
        <v>32</v>
      </c>
      <c r="S26" s="30">
        <f>ROUND(G140*$N$9,0)</f>
        <v>333333</v>
      </c>
      <c r="T26" s="44"/>
      <c r="U26" s="12" t="s">
        <v>89</v>
      </c>
      <c r="V26" s="13">
        <f t="shared" si="1"/>
        <v>24</v>
      </c>
      <c r="W26" s="14">
        <v>2.0</v>
      </c>
    </row>
    <row r="27" ht="18.0" customHeight="1">
      <c r="A27" s="15" t="s">
        <v>90</v>
      </c>
      <c r="B27" s="13">
        <v>5.0</v>
      </c>
      <c r="C27" s="17"/>
      <c r="D27" s="17"/>
      <c r="E27" s="16">
        <v>5.0</v>
      </c>
      <c r="F27" s="17"/>
      <c r="G27" s="17"/>
      <c r="H27" s="17"/>
      <c r="I27" s="18" t="s">
        <v>39</v>
      </c>
      <c r="K27" s="2"/>
      <c r="L27" s="2"/>
      <c r="M27" s="2"/>
      <c r="N27" s="2"/>
      <c r="P27" s="19" t="s">
        <v>43</v>
      </c>
      <c r="R27" s="29" t="s">
        <v>35</v>
      </c>
      <c r="S27" s="30">
        <f>ROUND(H140*$N$10,0)</f>
        <v>311111</v>
      </c>
      <c r="T27" s="44"/>
      <c r="U27" s="12" t="s">
        <v>89</v>
      </c>
      <c r="V27" s="13">
        <f t="shared" si="1"/>
        <v>24</v>
      </c>
      <c r="W27" s="14">
        <v>2.0</v>
      </c>
    </row>
    <row r="28" ht="19.5" customHeight="1">
      <c r="A28" s="15" t="s">
        <v>91</v>
      </c>
      <c r="B28" s="13">
        <v>4.0</v>
      </c>
      <c r="C28" s="17"/>
      <c r="D28" s="17"/>
      <c r="E28" s="17"/>
      <c r="F28" s="17"/>
      <c r="G28" s="16">
        <v>4.0</v>
      </c>
      <c r="H28" s="17"/>
      <c r="I28" s="18" t="s">
        <v>39</v>
      </c>
      <c r="K28" s="2"/>
      <c r="L28" s="2"/>
      <c r="M28" s="2"/>
      <c r="N28" s="2"/>
      <c r="P28" s="19" t="s">
        <v>43</v>
      </c>
      <c r="R28" s="42" t="s">
        <v>92</v>
      </c>
      <c r="S28" s="43">
        <f>SUM(S22:S27)</f>
        <v>1930277</v>
      </c>
      <c r="T28" s="2"/>
      <c r="U28" s="12" t="s">
        <v>89</v>
      </c>
      <c r="V28" s="13">
        <f t="shared" si="1"/>
        <v>24</v>
      </c>
      <c r="W28" s="14">
        <v>2.0</v>
      </c>
    </row>
    <row r="29" ht="18.0" customHeight="1">
      <c r="A29" s="40" t="s">
        <v>93</v>
      </c>
      <c r="B29" s="41">
        <f>SUMIF($I:$I,"E02-HU03",C:C)+SUMIF($I:$I,"E02-HU03",D:D)+SUMIF($I:$I,"E02-HU03",E:E)+SUMIF($I:$I,"E02-HU03",F:F)+SUMIF($I:$I,"E02-HU03",G:G)+SUMIF($I:$I,"E02-HU03",H:H)</f>
        <v>23</v>
      </c>
      <c r="C29" s="23"/>
      <c r="D29" s="23"/>
      <c r="E29" s="23"/>
      <c r="F29" s="23"/>
      <c r="G29" s="23"/>
      <c r="H29" s="23"/>
      <c r="I29" s="23"/>
      <c r="K29" s="2"/>
      <c r="L29" s="2"/>
      <c r="M29" s="2"/>
      <c r="N29" s="2"/>
      <c r="P29" s="2"/>
      <c r="R29" s="2"/>
      <c r="S29" s="2"/>
      <c r="T29" s="2"/>
      <c r="U29" s="12" t="s">
        <v>94</v>
      </c>
      <c r="V29" s="13">
        <f t="shared" si="1"/>
        <v>20</v>
      </c>
      <c r="W29" s="14">
        <v>2.0</v>
      </c>
    </row>
    <row r="30" ht="19.5" customHeight="1">
      <c r="A30" s="15" t="s">
        <v>95</v>
      </c>
      <c r="B30" s="13">
        <v>5.0</v>
      </c>
      <c r="C30" s="17"/>
      <c r="D30" s="17"/>
      <c r="E30" s="16">
        <v>5.0</v>
      </c>
      <c r="F30" s="17"/>
      <c r="G30" s="17"/>
      <c r="H30" s="17"/>
      <c r="I30" s="18" t="s">
        <v>59</v>
      </c>
      <c r="K30" s="2"/>
      <c r="L30" s="2"/>
      <c r="M30" s="2"/>
      <c r="N30" s="2"/>
      <c r="P30" s="19" t="s">
        <v>43</v>
      </c>
      <c r="R30" s="28" t="s">
        <v>96</v>
      </c>
      <c r="T30" s="2"/>
      <c r="U30" s="12" t="s">
        <v>94</v>
      </c>
      <c r="V30" s="13">
        <f t="shared" si="1"/>
        <v>20</v>
      </c>
      <c r="W30" s="14">
        <v>2.0</v>
      </c>
    </row>
    <row r="31" ht="18.0" customHeight="1">
      <c r="A31" s="15" t="s">
        <v>97</v>
      </c>
      <c r="B31" s="13">
        <v>5.0</v>
      </c>
      <c r="C31" s="17"/>
      <c r="D31" s="17"/>
      <c r="E31" s="16">
        <v>5.0</v>
      </c>
      <c r="F31" s="17"/>
      <c r="G31" s="17"/>
      <c r="H31" s="17"/>
      <c r="I31" s="18" t="s">
        <v>59</v>
      </c>
      <c r="K31" s="2"/>
      <c r="L31" s="2"/>
      <c r="M31" s="2"/>
      <c r="N31" s="2"/>
      <c r="P31" s="19" t="s">
        <v>43</v>
      </c>
      <c r="R31" s="29" t="s">
        <v>98</v>
      </c>
      <c r="S31" s="30">
        <f>ROUND(C6*$N$5+D6*$N$6+E6*$N$7+F6*$N$8+G6*$N$9+H6*$N$10+C7*$N$5+D7*$N$6+E7*$N$7+F7*$N$8+G7*$N$9+H7*$N$10+C8*$N$5+D8*$N$6+E8*$N$7+F8*$N$8+G8*$N$9+H8*$N$10+C9*$N$5+D9*$N$6+E9*$N$7+F9*$N$8+G9*$N$9+H9*$N$10,0)</f>
        <v>173333</v>
      </c>
      <c r="T31" s="2"/>
      <c r="U31" s="12" t="s">
        <v>94</v>
      </c>
      <c r="V31" s="13">
        <f t="shared" si="1"/>
        <v>20</v>
      </c>
      <c r="W31" s="14">
        <v>2.0</v>
      </c>
    </row>
    <row r="32" ht="18.0" customHeight="1">
      <c r="A32" s="15" t="s">
        <v>99</v>
      </c>
      <c r="B32" s="13">
        <v>5.0</v>
      </c>
      <c r="C32" s="17"/>
      <c r="D32" s="17"/>
      <c r="E32" s="16">
        <v>5.0</v>
      </c>
      <c r="F32" s="17"/>
      <c r="G32" s="17"/>
      <c r="H32" s="17"/>
      <c r="I32" s="18" t="s">
        <v>59</v>
      </c>
      <c r="K32" s="2"/>
      <c r="L32" s="2"/>
      <c r="M32" s="2"/>
      <c r="N32" s="2"/>
      <c r="P32" s="19" t="s">
        <v>43</v>
      </c>
      <c r="R32" s="29" t="s">
        <v>100</v>
      </c>
      <c r="S32" s="30">
        <f>ROUND(C10*$N$5+D10*$N$6+E10*$N$7+F10*$N$8+G10*$N$9+H10*$N$10,0)</f>
        <v>83889</v>
      </c>
      <c r="T32" s="2"/>
      <c r="U32" s="49" t="s">
        <v>101</v>
      </c>
      <c r="V32" s="13">
        <f t="shared" si="1"/>
        <v>14</v>
      </c>
      <c r="W32" s="14">
        <v>2.0</v>
      </c>
    </row>
    <row r="33" ht="18.0" customHeight="1">
      <c r="A33" s="15" t="s">
        <v>102</v>
      </c>
      <c r="B33" s="13">
        <v>4.0</v>
      </c>
      <c r="C33" s="17"/>
      <c r="D33" s="17"/>
      <c r="E33" s="17"/>
      <c r="F33" s="16">
        <v>4.0</v>
      </c>
      <c r="G33" s="17"/>
      <c r="H33" s="17"/>
      <c r="I33" s="18" t="s">
        <v>59</v>
      </c>
      <c r="K33" s="2"/>
      <c r="L33" s="2"/>
      <c r="M33" s="2"/>
      <c r="N33" s="2"/>
      <c r="P33" s="19" t="s">
        <v>43</v>
      </c>
      <c r="R33" s="29" t="s">
        <v>103</v>
      </c>
      <c r="S33" s="30">
        <f>ROUND(SUMIF($I:$I,"E01*",C:C)*$N$5+SUMIF($I:$I,"E01*",D:D)*$N$6+SUMIF($I:$I,"E01*",E:E)*$N$7+SUMIF($I:$I,"E01*",F:F)*$N$8+SUMIF($I:$I,"E01*",G:G)*$N$9+SUMIF($I:$I,"E01*",H:H)*$N$10,0)</f>
        <v>182778</v>
      </c>
      <c r="T33" s="2"/>
      <c r="U33" s="49" t="s">
        <v>101</v>
      </c>
      <c r="V33" s="13">
        <f t="shared" si="1"/>
        <v>14</v>
      </c>
      <c r="W33" s="14">
        <v>2.0</v>
      </c>
    </row>
    <row r="34" ht="18.0" customHeight="1">
      <c r="A34" s="15" t="s">
        <v>104</v>
      </c>
      <c r="B34" s="13">
        <v>4.0</v>
      </c>
      <c r="C34" s="17"/>
      <c r="D34" s="17"/>
      <c r="E34" s="17"/>
      <c r="F34" s="17"/>
      <c r="G34" s="16">
        <v>4.0</v>
      </c>
      <c r="H34" s="17"/>
      <c r="I34" s="18" t="s">
        <v>59</v>
      </c>
      <c r="K34" s="2"/>
      <c r="L34" s="2"/>
      <c r="M34" s="2"/>
      <c r="N34" s="2"/>
      <c r="P34" s="19" t="s">
        <v>43</v>
      </c>
      <c r="R34" s="29" t="s">
        <v>105</v>
      </c>
      <c r="S34" s="30">
        <f>ROUND(SUMIF($I:$I,"E02*",C:C)*$N$5+SUMIF($I:$I,"E02*",D:D)*$N$6+SUMIF($I:$I,"E02*",E:E)*$N$7+SUMIF($I:$I,"E02*",F:F)*$N$8+SUMIF($I:$I,"E02*",G:G)*$N$9+SUMIF($I:$I,"E02*",H:H)*$N$10,0)</f>
        <v>239444</v>
      </c>
      <c r="T34" s="2"/>
      <c r="U34" s="49" t="s">
        <v>101</v>
      </c>
      <c r="V34" s="13">
        <f t="shared" si="1"/>
        <v>14</v>
      </c>
      <c r="W34" s="14">
        <v>2.0</v>
      </c>
    </row>
    <row r="35" ht="18.0" customHeight="1">
      <c r="A35" s="40" t="s">
        <v>106</v>
      </c>
      <c r="B35" s="41">
        <f>SUMIF($I:$I,"E02-HU04",C:C)+SUMIF($I:$I,"E02-HU04",D:D)+SUMIF($I:$I,"E02-HU04",E:E)+SUMIF($I:$I,"E02-HU04",F:F)+SUMIF($I:$I,"E02-HU04",G:G)+SUMIF($I:$I,"E02-HU04",H:H)</f>
        <v>22</v>
      </c>
      <c r="C35" s="23"/>
      <c r="D35" s="23"/>
      <c r="E35" s="23"/>
      <c r="F35" s="23"/>
      <c r="G35" s="23"/>
      <c r="H35" s="23"/>
      <c r="I35" s="23"/>
      <c r="K35" s="2"/>
      <c r="L35" s="2"/>
      <c r="M35" s="2"/>
      <c r="N35" s="2"/>
      <c r="P35" s="2"/>
      <c r="R35" s="29" t="s">
        <v>107</v>
      </c>
      <c r="S35" s="30">
        <f>ROUND(SUMIF($I:$I,"E03*",C:C)*$N$5+SUMIF($I:$I,"E03*",D:D)*$N$6+SUMIF($I:$I,"E03*",E:E)*$N$7+SUMIF($I:$I,"E03*",F:F)*$N$8+SUMIF($I:$I,"E03*",G:G)*$N$9+SUMIF($I:$I,"E03*",H:H)*$N$10,0)</f>
        <v>230556</v>
      </c>
      <c r="T35" s="2"/>
      <c r="U35" s="49" t="s">
        <v>108</v>
      </c>
      <c r="V35" s="13">
        <f t="shared" si="1"/>
        <v>19</v>
      </c>
      <c r="W35" s="14">
        <v>2.0</v>
      </c>
    </row>
    <row r="36" ht="18.0" customHeight="1">
      <c r="A36" s="15" t="s">
        <v>109</v>
      </c>
      <c r="B36" s="13">
        <v>5.0</v>
      </c>
      <c r="C36" s="17"/>
      <c r="D36" s="17"/>
      <c r="E36" s="17"/>
      <c r="F36" s="17"/>
      <c r="G36" s="17"/>
      <c r="H36" s="16">
        <v>5.0</v>
      </c>
      <c r="I36" s="18" t="s">
        <v>69</v>
      </c>
      <c r="K36" s="2"/>
      <c r="L36" s="2"/>
      <c r="M36" s="2"/>
      <c r="N36" s="2"/>
      <c r="P36" s="19" t="s">
        <v>43</v>
      </c>
      <c r="R36" s="29" t="s">
        <v>110</v>
      </c>
      <c r="S36" s="30">
        <f>ROUND(SUMIF($I:$I,"E05*",C:C)*$N$5+SUMIF($I:$I,"E05*",D:D)*$N$6+SUMIF($I:$I,"E05*",E:E)*$N$7+SUMIF($I:$I,"E05*",F:F)*$N$8+SUMIF($I:$I,"E05*",G:G)*$N$9+SUMIF($I:$I,"E05*",H:H)*$N$10,0)</f>
        <v>122222</v>
      </c>
      <c r="T36" s="2"/>
      <c r="U36" s="49" t="s">
        <v>108</v>
      </c>
      <c r="V36" s="13">
        <f t="shared" si="1"/>
        <v>19</v>
      </c>
      <c r="W36" s="14">
        <v>2.0</v>
      </c>
    </row>
    <row r="37" ht="18.0" customHeight="1">
      <c r="A37" s="15" t="s">
        <v>111</v>
      </c>
      <c r="B37" s="13">
        <v>6.0</v>
      </c>
      <c r="C37" s="17"/>
      <c r="D37" s="17"/>
      <c r="E37" s="16">
        <v>6.0</v>
      </c>
      <c r="F37" s="17"/>
      <c r="G37" s="17"/>
      <c r="H37" s="17"/>
      <c r="I37" s="18" t="s">
        <v>69</v>
      </c>
      <c r="K37" s="2"/>
      <c r="L37" s="2"/>
      <c r="M37" s="2"/>
      <c r="N37" s="2"/>
      <c r="P37" s="19" t="s">
        <v>43</v>
      </c>
      <c r="R37" s="29" t="s">
        <v>112</v>
      </c>
      <c r="S37" s="30">
        <f>ROUND(SUMIF($I:$I,"E04*",C:C)*$N$5+SUMIF($I:$I,"E04*",D:D)*$N$6+SUMIF($I:$I,"E04*",E:E)*$N$7+SUMIF($I:$I,"E04*",F:F)*$N$8+SUMIF($I:$I,"E04*",G:G)*$N$9+SUMIF($I:$I,"E04*",H:H)*$N$10,0)</f>
        <v>134722</v>
      </c>
      <c r="T37" s="2"/>
      <c r="U37" s="49" t="s">
        <v>108</v>
      </c>
      <c r="V37" s="13">
        <f t="shared" si="1"/>
        <v>19</v>
      </c>
      <c r="W37" s="14">
        <v>2.0</v>
      </c>
    </row>
    <row r="38" ht="18.0" customHeight="1">
      <c r="A38" s="15" t="s">
        <v>113</v>
      </c>
      <c r="B38" s="13">
        <v>7.0</v>
      </c>
      <c r="C38" s="17"/>
      <c r="D38" s="17"/>
      <c r="E38" s="16">
        <v>7.0</v>
      </c>
      <c r="F38" s="17"/>
      <c r="G38" s="17"/>
      <c r="H38" s="17"/>
      <c r="I38" s="18" t="s">
        <v>69</v>
      </c>
      <c r="K38" s="2"/>
      <c r="L38" s="2"/>
      <c r="M38" s="2"/>
      <c r="N38" s="2"/>
      <c r="P38" s="19" t="s">
        <v>43</v>
      </c>
      <c r="R38" s="29" t="s">
        <v>114</v>
      </c>
      <c r="S38" s="30">
        <f>ROUND(SUMIF($I:$I,"E06*",C:C)*$N$5+SUMIF($I:$I,"E06*",D:D)*$N$6+SUMIF($I:$I,"E06*",E:E)*$N$7+SUMIF($I:$I,"E06*",F:F)*$N$8+SUMIF($I:$I,"E06*",G:G)*$N$9+SUMIF($I:$I,"E06*",H:H)*$N$10+SUMIF($I:$I,"E07*",C:C)*$N$5+SUMIF($I:$I,"E07*",D:D)*$N$6+SUMIF($I:$I,"E07*",E:E)*$N$7+SUMIF($I:$I,"E07*",F:F)*$N$8+SUMIF($I:$I,"E07*",G:G)*$N$9+SUMIF($I:$I,"E07*",H:H)*$N$10+SUMIF($I:$I,"F3",C:C)*$N$5+SUMIF($I:$I,"F3",D:D)*$N$6+SUMIF($I:$I,"F3",E:E)*$N$7+SUMIF($I:$I,"F3",F:F)*$N$8+SUMIF($I:$I,"F3",G:G)*$N$9+SUMIF($I:$I,"F3",H:H)*$N$10,0)</f>
        <v>763333</v>
      </c>
      <c r="T38" s="2"/>
      <c r="U38" s="49" t="s">
        <v>108</v>
      </c>
      <c r="V38" s="13">
        <f t="shared" si="1"/>
        <v>19</v>
      </c>
      <c r="W38" s="14">
        <v>2.0</v>
      </c>
    </row>
    <row r="39" ht="19.5" customHeight="1">
      <c r="A39" s="15" t="s">
        <v>115</v>
      </c>
      <c r="B39" s="13">
        <v>4.0</v>
      </c>
      <c r="C39" s="17"/>
      <c r="D39" s="17"/>
      <c r="E39" s="17"/>
      <c r="F39" s="17"/>
      <c r="G39" s="16">
        <v>4.0</v>
      </c>
      <c r="H39" s="17"/>
      <c r="I39" s="18" t="s">
        <v>69</v>
      </c>
      <c r="K39" s="2"/>
      <c r="L39" s="2"/>
      <c r="M39" s="2"/>
      <c r="N39" s="2"/>
      <c r="P39" s="19" t="s">
        <v>43</v>
      </c>
      <c r="R39" s="42" t="s">
        <v>116</v>
      </c>
      <c r="S39" s="43">
        <f>SUM(S31:S38)</f>
        <v>1930277</v>
      </c>
      <c r="T39" s="2"/>
      <c r="U39" s="50" t="s">
        <v>117</v>
      </c>
      <c r="V39" s="13">
        <f t="shared" si="1"/>
        <v>21</v>
      </c>
      <c r="W39" s="14">
        <v>3.0</v>
      </c>
    </row>
    <row r="40" ht="19.5" customHeight="1">
      <c r="A40" s="21" t="s">
        <v>118</v>
      </c>
      <c r="B40" s="22">
        <f>SUMIF($P:$P,"S1",C:C)+SUMIF($P:$P,"S1",D:D)+SUMIF($P:$P,"S1",E:E)+SUMIF($P:$P,"S1",F:F)+SUMIF($P:$P,"S1",G:G)+SUMIF($P:$P,"S1",H:H)</f>
        <v>105</v>
      </c>
      <c r="C40" s="23"/>
      <c r="D40" s="23"/>
      <c r="E40" s="23"/>
      <c r="F40" s="23"/>
      <c r="G40" s="23"/>
      <c r="H40" s="23"/>
      <c r="I40" s="23"/>
      <c r="K40" s="2"/>
      <c r="L40" s="2"/>
      <c r="M40" s="2"/>
      <c r="N40" s="2"/>
      <c r="P40" s="2"/>
      <c r="R40" s="2"/>
      <c r="S40" s="2"/>
      <c r="T40" s="2"/>
      <c r="U40" s="50" t="s">
        <v>117</v>
      </c>
      <c r="V40" s="13">
        <f t="shared" si="1"/>
        <v>21</v>
      </c>
      <c r="W40" s="14">
        <v>3.0</v>
      </c>
    </row>
    <row r="41" ht="21.75" customHeight="1">
      <c r="A41" s="51" t="s">
        <v>119</v>
      </c>
      <c r="B41" s="7"/>
      <c r="C41" s="7"/>
      <c r="D41" s="7"/>
      <c r="E41" s="7"/>
      <c r="F41" s="7"/>
      <c r="G41" s="7"/>
      <c r="H41" s="7"/>
      <c r="I41" s="8"/>
      <c r="K41" s="2"/>
      <c r="L41" s="2"/>
      <c r="M41" s="2"/>
      <c r="N41" s="2"/>
      <c r="P41" s="2"/>
      <c r="R41" s="52" t="s">
        <v>120</v>
      </c>
      <c r="S41" s="53">
        <f>S28</f>
        <v>1930277</v>
      </c>
      <c r="T41" s="2"/>
      <c r="U41" s="50" t="s">
        <v>117</v>
      </c>
      <c r="V41" s="13">
        <f t="shared" si="1"/>
        <v>21</v>
      </c>
      <c r="W41" s="14">
        <v>3.0</v>
      </c>
    </row>
    <row r="42" ht="18.0" customHeight="1">
      <c r="A42" s="26" t="s">
        <v>121</v>
      </c>
      <c r="B42" s="27">
        <f>SUMIF($I:$I,"E01-HU02",C:C)+SUMIF($I:$I,"E01-HU02",D:D)+SUMIF($I:$I,"E01-HU02",E:E)+SUMIF($I:$I,"E01-HU02",F:F)+SUMIF($I:$I,"E01-HU02",G:G)+SUMIF($I:$I,"E01-HU02",H:H)</f>
        <v>24</v>
      </c>
      <c r="C42" s="23"/>
      <c r="D42" s="23"/>
      <c r="E42" s="23"/>
      <c r="F42" s="23"/>
      <c r="G42" s="23"/>
      <c r="H42" s="23"/>
      <c r="I42" s="23"/>
      <c r="K42" s="2"/>
      <c r="L42" s="2"/>
      <c r="M42" s="2"/>
      <c r="N42" s="2"/>
      <c r="P42" s="2"/>
      <c r="R42" s="54" t="s">
        <v>122</v>
      </c>
      <c r="S42" s="55">
        <f>S19-S28</f>
        <v>0</v>
      </c>
      <c r="T42" s="2"/>
      <c r="U42" s="50" t="s">
        <v>117</v>
      </c>
      <c r="V42" s="13">
        <f t="shared" si="1"/>
        <v>21</v>
      </c>
      <c r="W42" s="14">
        <v>3.0</v>
      </c>
    </row>
    <row r="43" ht="31.5" customHeight="1">
      <c r="A43" s="15" t="s">
        <v>123</v>
      </c>
      <c r="B43" s="13">
        <v>8.0</v>
      </c>
      <c r="C43" s="17"/>
      <c r="D43" s="17"/>
      <c r="E43" s="16">
        <v>8.0</v>
      </c>
      <c r="F43" s="17"/>
      <c r="G43" s="17"/>
      <c r="H43" s="17"/>
      <c r="I43" s="18" t="s">
        <v>89</v>
      </c>
      <c r="K43" s="2"/>
      <c r="L43" s="2"/>
      <c r="M43" s="2"/>
      <c r="N43" s="2"/>
      <c r="P43" s="19" t="s">
        <v>124</v>
      </c>
      <c r="R43" s="54" t="s">
        <v>125</v>
      </c>
      <c r="S43" s="55">
        <f>S39-S28</f>
        <v>0</v>
      </c>
      <c r="T43" s="2"/>
      <c r="U43" s="50" t="s">
        <v>126</v>
      </c>
      <c r="V43" s="13">
        <f t="shared" si="1"/>
        <v>28</v>
      </c>
      <c r="W43" s="14">
        <v>3.0</v>
      </c>
    </row>
    <row r="44" ht="31.5" customHeight="1">
      <c r="A44" s="15" t="s">
        <v>127</v>
      </c>
      <c r="B44" s="13">
        <v>8.0</v>
      </c>
      <c r="C44" s="17"/>
      <c r="D44" s="17"/>
      <c r="E44" s="16">
        <v>8.0</v>
      </c>
      <c r="F44" s="17"/>
      <c r="G44" s="17"/>
      <c r="H44" s="17"/>
      <c r="I44" s="18" t="s">
        <v>89</v>
      </c>
      <c r="K44" s="2"/>
      <c r="L44" s="2"/>
      <c r="M44" s="2"/>
      <c r="N44" s="2"/>
      <c r="P44" s="19" t="s">
        <v>124</v>
      </c>
      <c r="R44" s="2"/>
      <c r="S44" s="2"/>
      <c r="T44" s="2"/>
      <c r="U44" s="50" t="s">
        <v>126</v>
      </c>
      <c r="V44" s="13">
        <f t="shared" si="1"/>
        <v>28</v>
      </c>
      <c r="W44" s="14">
        <v>3.0</v>
      </c>
    </row>
    <row r="45" ht="31.5" customHeight="1">
      <c r="A45" s="15" t="s">
        <v>128</v>
      </c>
      <c r="B45" s="13">
        <v>8.0</v>
      </c>
      <c r="C45" s="17"/>
      <c r="D45" s="17"/>
      <c r="E45" s="16">
        <v>8.0</v>
      </c>
      <c r="F45" s="17"/>
      <c r="G45" s="17"/>
      <c r="H45" s="17"/>
      <c r="I45" s="18" t="s">
        <v>89</v>
      </c>
      <c r="K45" s="2"/>
      <c r="L45" s="2"/>
      <c r="M45" s="2"/>
      <c r="N45" s="2"/>
      <c r="P45" s="19" t="s">
        <v>124</v>
      </c>
      <c r="R45" s="56" t="s">
        <v>129</v>
      </c>
      <c r="T45" s="2"/>
      <c r="U45" s="50" t="s">
        <v>126</v>
      </c>
      <c r="V45" s="13">
        <f t="shared" si="1"/>
        <v>28</v>
      </c>
      <c r="W45" s="14">
        <v>3.0</v>
      </c>
    </row>
    <row r="46" ht="18.0" customHeight="1">
      <c r="A46" s="26" t="s">
        <v>130</v>
      </c>
      <c r="B46" s="27">
        <f>SUMIF($I:$I,"E01-HU03",C:C)+SUMIF($I:$I,"E01-HU03",D:D)+SUMIF($I:$I,"E01-HU03",E:E)+SUMIF($I:$I,"E01-HU03",F:F)+SUMIF($I:$I,"E01-HU03",G:G)+SUMIF($I:$I,"E01-HU03",H:H)</f>
        <v>20</v>
      </c>
      <c r="C46" s="23"/>
      <c r="D46" s="23"/>
      <c r="E46" s="23"/>
      <c r="F46" s="23"/>
      <c r="G46" s="23"/>
      <c r="H46" s="23"/>
      <c r="I46" s="23"/>
      <c r="K46" s="2"/>
      <c r="L46" s="2"/>
      <c r="M46" s="2"/>
      <c r="N46" s="2"/>
      <c r="P46" s="2"/>
      <c r="T46" s="2"/>
      <c r="U46" s="50" t="s">
        <v>126</v>
      </c>
      <c r="V46" s="13">
        <f t="shared" si="1"/>
        <v>28</v>
      </c>
      <c r="W46" s="14">
        <v>3.0</v>
      </c>
    </row>
    <row r="47" ht="18.0" customHeight="1">
      <c r="A47" s="15" t="s">
        <v>131</v>
      </c>
      <c r="B47" s="13">
        <v>8.0</v>
      </c>
      <c r="C47" s="17"/>
      <c r="D47" s="17"/>
      <c r="E47" s="17"/>
      <c r="F47" s="17"/>
      <c r="G47" s="17"/>
      <c r="H47" s="16">
        <v>8.0</v>
      </c>
      <c r="I47" s="18" t="s">
        <v>94</v>
      </c>
      <c r="K47" s="2"/>
      <c r="L47" s="2"/>
      <c r="M47" s="2"/>
      <c r="N47" s="2"/>
      <c r="P47" s="19" t="s">
        <v>124</v>
      </c>
      <c r="T47" s="2"/>
      <c r="U47" s="50" t="s">
        <v>126</v>
      </c>
      <c r="V47" s="13">
        <f t="shared" si="1"/>
        <v>28</v>
      </c>
      <c r="W47" s="14">
        <v>3.0</v>
      </c>
    </row>
    <row r="48" ht="31.5" customHeight="1">
      <c r="A48" s="15" t="s">
        <v>132</v>
      </c>
      <c r="B48" s="13">
        <v>7.0</v>
      </c>
      <c r="C48" s="17"/>
      <c r="D48" s="17"/>
      <c r="E48" s="17"/>
      <c r="F48" s="17"/>
      <c r="G48" s="17"/>
      <c r="H48" s="16">
        <v>7.0</v>
      </c>
      <c r="I48" s="18" t="s">
        <v>94</v>
      </c>
      <c r="K48" s="2"/>
      <c r="L48" s="2"/>
      <c r="M48" s="2"/>
      <c r="N48" s="2"/>
      <c r="P48" s="19" t="s">
        <v>124</v>
      </c>
      <c r="R48" s="2"/>
      <c r="S48" s="2"/>
      <c r="T48" s="2"/>
      <c r="U48" s="50" t="s">
        <v>126</v>
      </c>
      <c r="V48" s="13">
        <f t="shared" si="1"/>
        <v>28</v>
      </c>
      <c r="W48" s="14">
        <v>3.0</v>
      </c>
    </row>
    <row r="49" ht="18.0" customHeight="1">
      <c r="A49" s="15" t="s">
        <v>133</v>
      </c>
      <c r="B49" s="13">
        <v>5.0</v>
      </c>
      <c r="C49" s="17"/>
      <c r="D49" s="17"/>
      <c r="E49" s="17"/>
      <c r="F49" s="17"/>
      <c r="G49" s="17"/>
      <c r="H49" s="16">
        <v>5.0</v>
      </c>
      <c r="I49" s="18" t="s">
        <v>94</v>
      </c>
      <c r="K49" s="2"/>
      <c r="L49" s="2"/>
      <c r="M49" s="2"/>
      <c r="N49" s="2"/>
      <c r="P49" s="19" t="s">
        <v>124</v>
      </c>
      <c r="R49" s="2"/>
      <c r="S49" s="2"/>
      <c r="T49" s="2"/>
      <c r="U49" s="50" t="s">
        <v>126</v>
      </c>
      <c r="V49" s="13">
        <f t="shared" si="1"/>
        <v>28</v>
      </c>
      <c r="W49" s="14">
        <v>3.0</v>
      </c>
    </row>
    <row r="50" ht="18.0" customHeight="1">
      <c r="A50" s="57" t="s">
        <v>134</v>
      </c>
      <c r="B50" s="58">
        <f>SUMIF($I:$I,"E05-HU01",C:C)+SUMIF($I:$I,"E05-HU01",D:D)+SUMIF($I:$I,"E05-HU01",E:E)+SUMIF($I:$I,"E05-HU01",F:F)+SUMIF($I:$I,"E05-HU01",G:G)+SUMIF($I:$I,"E05-HU01",H:H)</f>
        <v>14</v>
      </c>
      <c r="C50" s="23"/>
      <c r="D50" s="23"/>
      <c r="E50" s="23"/>
      <c r="F50" s="23"/>
      <c r="G50" s="23"/>
      <c r="H50" s="23"/>
      <c r="I50" s="23"/>
      <c r="K50" s="2"/>
      <c r="L50" s="2"/>
      <c r="M50" s="2"/>
      <c r="N50" s="2"/>
      <c r="P50" s="2"/>
      <c r="R50" s="2"/>
      <c r="S50" s="2"/>
      <c r="T50" s="2"/>
      <c r="U50" s="50" t="s">
        <v>135</v>
      </c>
      <c r="V50" s="13">
        <f t="shared" si="1"/>
        <v>11</v>
      </c>
      <c r="W50" s="14">
        <v>3.0</v>
      </c>
    </row>
    <row r="51" ht="18.0" customHeight="1">
      <c r="A51" s="15" t="s">
        <v>136</v>
      </c>
      <c r="B51" s="13">
        <v>5.0</v>
      </c>
      <c r="C51" s="17"/>
      <c r="D51" s="17"/>
      <c r="E51" s="16">
        <v>5.0</v>
      </c>
      <c r="F51" s="17"/>
      <c r="G51" s="17"/>
      <c r="H51" s="17"/>
      <c r="I51" s="18" t="s">
        <v>101</v>
      </c>
      <c r="K51" s="2"/>
      <c r="L51" s="2"/>
      <c r="M51" s="2"/>
      <c r="N51" s="2"/>
      <c r="P51" s="19" t="s">
        <v>124</v>
      </c>
      <c r="R51" s="2"/>
      <c r="S51" s="2"/>
      <c r="T51" s="2"/>
      <c r="U51" s="50" t="s">
        <v>135</v>
      </c>
      <c r="V51" s="13">
        <f t="shared" si="1"/>
        <v>11</v>
      </c>
      <c r="W51" s="14">
        <v>3.0</v>
      </c>
    </row>
    <row r="52" ht="18.0" customHeight="1">
      <c r="A52" s="15" t="s">
        <v>137</v>
      </c>
      <c r="B52" s="13">
        <v>5.0</v>
      </c>
      <c r="C52" s="17"/>
      <c r="D52" s="17"/>
      <c r="E52" s="17"/>
      <c r="F52" s="17"/>
      <c r="G52" s="17"/>
      <c r="H52" s="16">
        <v>5.0</v>
      </c>
      <c r="I52" s="18" t="s">
        <v>101</v>
      </c>
      <c r="K52" s="2"/>
      <c r="L52" s="2"/>
      <c r="M52" s="2"/>
      <c r="N52" s="2"/>
      <c r="P52" s="19" t="s">
        <v>124</v>
      </c>
      <c r="R52" s="2"/>
      <c r="S52" s="2"/>
      <c r="T52" s="2"/>
      <c r="U52" s="50" t="s">
        <v>135</v>
      </c>
      <c r="V52" s="13">
        <f t="shared" si="1"/>
        <v>11</v>
      </c>
      <c r="W52" s="14">
        <v>3.0</v>
      </c>
    </row>
    <row r="53" ht="18.0" customHeight="1">
      <c r="A53" s="15" t="s">
        <v>138</v>
      </c>
      <c r="B53" s="13">
        <v>4.0</v>
      </c>
      <c r="C53" s="17"/>
      <c r="D53" s="17"/>
      <c r="E53" s="17"/>
      <c r="F53" s="17"/>
      <c r="G53" s="16">
        <v>4.0</v>
      </c>
      <c r="H53" s="17"/>
      <c r="I53" s="18" t="s">
        <v>101</v>
      </c>
      <c r="K53" s="2"/>
      <c r="L53" s="2"/>
      <c r="M53" s="2"/>
      <c r="N53" s="2"/>
      <c r="P53" s="19" t="s">
        <v>124</v>
      </c>
      <c r="R53" s="2"/>
      <c r="S53" s="2"/>
      <c r="T53" s="2"/>
      <c r="U53" s="50" t="s">
        <v>139</v>
      </c>
      <c r="V53" s="13">
        <f t="shared" si="1"/>
        <v>23</v>
      </c>
      <c r="W53" s="14">
        <v>3.0</v>
      </c>
    </row>
    <row r="54" ht="18.0" customHeight="1">
      <c r="A54" s="57" t="s">
        <v>140</v>
      </c>
      <c r="B54" s="58">
        <f>SUMIF($I:$I,"E05-HU02",C:C)+SUMIF($I:$I,"E05-HU02",D:D)+SUMIF($I:$I,"E05-HU02",E:E)+SUMIF($I:$I,"E05-HU02",F:F)+SUMIF($I:$I,"E05-HU02",G:G)+SUMIF($I:$I,"E05-HU02",H:H)</f>
        <v>19</v>
      </c>
      <c r="C54" s="23"/>
      <c r="D54" s="23"/>
      <c r="E54" s="23"/>
      <c r="F54" s="23"/>
      <c r="G54" s="23"/>
      <c r="H54" s="23"/>
      <c r="I54" s="23"/>
      <c r="K54" s="2"/>
      <c r="L54" s="2"/>
      <c r="M54" s="2"/>
      <c r="N54" s="2"/>
      <c r="P54" s="2"/>
      <c r="R54" s="2"/>
      <c r="S54" s="2"/>
      <c r="T54" s="2"/>
      <c r="U54" s="50" t="s">
        <v>139</v>
      </c>
      <c r="V54" s="13">
        <f t="shared" si="1"/>
        <v>23</v>
      </c>
      <c r="W54" s="14">
        <v>3.0</v>
      </c>
    </row>
    <row r="55" ht="18.0" customHeight="1">
      <c r="A55" s="15" t="s">
        <v>141</v>
      </c>
      <c r="B55" s="13">
        <v>6.0</v>
      </c>
      <c r="C55" s="17"/>
      <c r="D55" s="17"/>
      <c r="E55" s="16">
        <v>6.0</v>
      </c>
      <c r="F55" s="17"/>
      <c r="G55" s="17"/>
      <c r="H55" s="17"/>
      <c r="I55" s="18" t="s">
        <v>108</v>
      </c>
      <c r="K55" s="2"/>
      <c r="L55" s="2"/>
      <c r="M55" s="2"/>
      <c r="N55" s="2"/>
      <c r="P55" s="19" t="s">
        <v>124</v>
      </c>
      <c r="R55" s="2"/>
      <c r="S55" s="2"/>
      <c r="T55" s="2"/>
      <c r="U55" s="50" t="s">
        <v>139</v>
      </c>
      <c r="V55" s="13">
        <f t="shared" si="1"/>
        <v>23</v>
      </c>
      <c r="W55" s="14">
        <v>3.0</v>
      </c>
    </row>
    <row r="56" ht="18.0" customHeight="1">
      <c r="A56" s="15" t="s">
        <v>142</v>
      </c>
      <c r="B56" s="13">
        <v>5.0</v>
      </c>
      <c r="C56" s="17"/>
      <c r="D56" s="17"/>
      <c r="E56" s="17"/>
      <c r="F56" s="17"/>
      <c r="G56" s="17"/>
      <c r="H56" s="16">
        <v>5.0</v>
      </c>
      <c r="I56" s="18" t="s">
        <v>108</v>
      </c>
      <c r="K56" s="2"/>
      <c r="L56" s="2"/>
      <c r="M56" s="2"/>
      <c r="N56" s="2"/>
      <c r="P56" s="19" t="s">
        <v>124</v>
      </c>
      <c r="R56" s="2"/>
      <c r="S56" s="2"/>
      <c r="T56" s="2"/>
      <c r="U56" s="50" t="s">
        <v>139</v>
      </c>
      <c r="V56" s="13">
        <f t="shared" si="1"/>
        <v>23</v>
      </c>
      <c r="W56" s="14">
        <v>3.0</v>
      </c>
    </row>
    <row r="57" ht="18.0" customHeight="1">
      <c r="A57" s="15" t="s">
        <v>143</v>
      </c>
      <c r="B57" s="13">
        <v>4.0</v>
      </c>
      <c r="C57" s="17"/>
      <c r="D57" s="17"/>
      <c r="E57" s="16">
        <v>4.0</v>
      </c>
      <c r="F57" s="17"/>
      <c r="G57" s="17"/>
      <c r="H57" s="17"/>
      <c r="I57" s="18" t="s">
        <v>108</v>
      </c>
      <c r="K57" s="2"/>
      <c r="L57" s="2"/>
      <c r="M57" s="2"/>
      <c r="N57" s="2"/>
      <c r="P57" s="19" t="s">
        <v>124</v>
      </c>
      <c r="R57" s="2"/>
      <c r="S57" s="2"/>
      <c r="T57" s="2"/>
      <c r="U57" s="50" t="s">
        <v>139</v>
      </c>
      <c r="V57" s="13">
        <f t="shared" si="1"/>
        <v>23</v>
      </c>
      <c r="W57" s="14">
        <v>3.0</v>
      </c>
    </row>
    <row r="58" ht="31.5" customHeight="1">
      <c r="A58" s="15" t="s">
        <v>144</v>
      </c>
      <c r="B58" s="13">
        <v>4.0</v>
      </c>
      <c r="C58" s="17"/>
      <c r="D58" s="17"/>
      <c r="E58" s="17"/>
      <c r="F58" s="17"/>
      <c r="G58" s="16">
        <v>4.0</v>
      </c>
      <c r="H58" s="17"/>
      <c r="I58" s="18" t="s">
        <v>108</v>
      </c>
      <c r="K58" s="2"/>
      <c r="L58" s="2"/>
      <c r="M58" s="2"/>
      <c r="N58" s="2"/>
      <c r="P58" s="19" t="s">
        <v>124</v>
      </c>
      <c r="R58" s="2"/>
      <c r="S58" s="2"/>
      <c r="T58" s="2"/>
      <c r="U58" s="49" t="s">
        <v>145</v>
      </c>
      <c r="V58" s="13">
        <f t="shared" si="1"/>
        <v>11</v>
      </c>
      <c r="W58" s="14">
        <v>3.0</v>
      </c>
    </row>
    <row r="59" ht="19.5" customHeight="1">
      <c r="A59" s="21" t="s">
        <v>146</v>
      </c>
      <c r="B59" s="22">
        <f>SUMIF($P:$P,"S2",C:C)+SUMIF($P:$P,"S2",D:D)+SUMIF($P:$P,"S2",E:E)+SUMIF($P:$P,"S2",F:F)+SUMIF($P:$P,"S2",G:G)+SUMIF($P:$P,"S2",H:H)</f>
        <v>77</v>
      </c>
      <c r="C59" s="23"/>
      <c r="D59" s="23"/>
      <c r="E59" s="23"/>
      <c r="F59" s="23"/>
      <c r="G59" s="23"/>
      <c r="H59" s="23"/>
      <c r="I59" s="23"/>
      <c r="K59" s="2"/>
      <c r="L59" s="2"/>
      <c r="M59" s="2"/>
      <c r="N59" s="2"/>
      <c r="P59" s="2"/>
      <c r="R59" s="2"/>
      <c r="S59" s="2"/>
      <c r="T59" s="2"/>
      <c r="U59" s="49" t="s">
        <v>145</v>
      </c>
      <c r="V59" s="13">
        <f t="shared" si="1"/>
        <v>11</v>
      </c>
      <c r="W59" s="14">
        <v>3.0</v>
      </c>
    </row>
    <row r="60" ht="21.75" customHeight="1">
      <c r="A60" s="25" t="s">
        <v>147</v>
      </c>
      <c r="B60" s="7"/>
      <c r="C60" s="7"/>
      <c r="D60" s="7"/>
      <c r="E60" s="7"/>
      <c r="F60" s="7"/>
      <c r="G60" s="7"/>
      <c r="H60" s="7"/>
      <c r="I60" s="8"/>
      <c r="K60" s="2"/>
      <c r="L60" s="2"/>
      <c r="M60" s="2"/>
      <c r="N60" s="2"/>
      <c r="P60" s="2"/>
      <c r="R60" s="2"/>
      <c r="S60" s="2"/>
      <c r="T60" s="2"/>
      <c r="U60" s="49" t="s">
        <v>145</v>
      </c>
      <c r="V60" s="13">
        <f t="shared" si="1"/>
        <v>11</v>
      </c>
      <c r="W60" s="14">
        <v>3.0</v>
      </c>
    </row>
    <row r="61" ht="18.0" customHeight="1">
      <c r="A61" s="59" t="s">
        <v>148</v>
      </c>
      <c r="B61" s="60">
        <f>SUMIF($I:$I,"E03-HU01",C:C)+SUMIF($I:$I,"E03-HU01",D:D)+SUMIF($I:$I,"E03-HU01",E:E)+SUMIF($I:$I,"E03-HU01",F:F)+SUMIF($I:$I,"E03-HU01",G:G)+SUMIF($I:$I,"E03-HU01",H:H)</f>
        <v>21</v>
      </c>
      <c r="C61" s="23"/>
      <c r="D61" s="23"/>
      <c r="E61" s="23"/>
      <c r="F61" s="23"/>
      <c r="G61" s="23"/>
      <c r="H61" s="23"/>
      <c r="I61" s="23"/>
      <c r="K61" s="2"/>
      <c r="L61" s="2"/>
      <c r="M61" s="2"/>
      <c r="N61" s="2"/>
      <c r="P61" s="2"/>
      <c r="R61" s="2"/>
      <c r="S61" s="2"/>
      <c r="T61" s="2"/>
      <c r="U61" s="61" t="s">
        <v>149</v>
      </c>
      <c r="V61" s="13">
        <f t="shared" si="1"/>
        <v>14</v>
      </c>
      <c r="W61" s="14">
        <v>4.0</v>
      </c>
    </row>
    <row r="62" ht="31.5" customHeight="1">
      <c r="A62" s="15" t="s">
        <v>150</v>
      </c>
      <c r="B62" s="13">
        <v>5.0</v>
      </c>
      <c r="C62" s="17"/>
      <c r="D62" s="17"/>
      <c r="E62" s="17"/>
      <c r="F62" s="17"/>
      <c r="G62" s="17"/>
      <c r="H62" s="16">
        <v>5.0</v>
      </c>
      <c r="I62" s="18" t="s">
        <v>117</v>
      </c>
      <c r="K62" s="2"/>
      <c r="L62" s="2"/>
      <c r="M62" s="2"/>
      <c r="N62" s="2"/>
      <c r="P62" s="19" t="s">
        <v>151</v>
      </c>
      <c r="R62" s="2"/>
      <c r="S62" s="2"/>
      <c r="T62" s="2"/>
      <c r="U62" s="61" t="s">
        <v>149</v>
      </c>
      <c r="V62" s="13">
        <f t="shared" si="1"/>
        <v>14</v>
      </c>
      <c r="W62" s="14">
        <v>4.0</v>
      </c>
    </row>
    <row r="63" ht="18.0" customHeight="1">
      <c r="A63" s="15" t="s">
        <v>152</v>
      </c>
      <c r="B63" s="13">
        <v>5.0</v>
      </c>
      <c r="C63" s="17"/>
      <c r="D63" s="17"/>
      <c r="E63" s="16">
        <v>5.0</v>
      </c>
      <c r="F63" s="17"/>
      <c r="G63" s="17"/>
      <c r="H63" s="17"/>
      <c r="I63" s="18" t="s">
        <v>117</v>
      </c>
      <c r="K63" s="2"/>
      <c r="L63" s="2"/>
      <c r="M63" s="2"/>
      <c r="N63" s="2"/>
      <c r="P63" s="19" t="s">
        <v>151</v>
      </c>
      <c r="R63" s="2"/>
      <c r="S63" s="2"/>
      <c r="T63" s="2"/>
      <c r="U63" s="61" t="s">
        <v>149</v>
      </c>
      <c r="V63" s="13">
        <f t="shared" si="1"/>
        <v>14</v>
      </c>
      <c r="W63" s="14">
        <v>4.0</v>
      </c>
    </row>
    <row r="64" ht="18.0" customHeight="1">
      <c r="A64" s="15" t="s">
        <v>153</v>
      </c>
      <c r="B64" s="13">
        <v>7.0</v>
      </c>
      <c r="C64" s="17"/>
      <c r="D64" s="17"/>
      <c r="E64" s="16">
        <v>7.0</v>
      </c>
      <c r="F64" s="17"/>
      <c r="G64" s="17"/>
      <c r="H64" s="17"/>
      <c r="I64" s="18" t="s">
        <v>117</v>
      </c>
      <c r="K64" s="2"/>
      <c r="L64" s="2"/>
      <c r="M64" s="2"/>
      <c r="N64" s="2"/>
      <c r="P64" s="19" t="s">
        <v>151</v>
      </c>
      <c r="R64" s="2"/>
      <c r="S64" s="2"/>
      <c r="T64" s="2"/>
      <c r="U64" s="61" t="s">
        <v>154</v>
      </c>
      <c r="V64" s="13">
        <f t="shared" si="1"/>
        <v>15</v>
      </c>
      <c r="W64" s="14">
        <v>4.0</v>
      </c>
    </row>
    <row r="65" ht="18.0" customHeight="1">
      <c r="A65" s="15" t="s">
        <v>155</v>
      </c>
      <c r="B65" s="13">
        <v>4.0</v>
      </c>
      <c r="C65" s="17"/>
      <c r="D65" s="17"/>
      <c r="E65" s="17"/>
      <c r="F65" s="17"/>
      <c r="G65" s="16">
        <v>4.0</v>
      </c>
      <c r="H65" s="17"/>
      <c r="I65" s="18" t="s">
        <v>117</v>
      </c>
      <c r="K65" s="2"/>
      <c r="L65" s="2"/>
      <c r="M65" s="2"/>
      <c r="N65" s="2"/>
      <c r="P65" s="19" t="s">
        <v>151</v>
      </c>
      <c r="R65" s="2"/>
      <c r="S65" s="2"/>
      <c r="T65" s="2"/>
      <c r="U65" s="61" t="s">
        <v>154</v>
      </c>
      <c r="V65" s="13">
        <f t="shared" si="1"/>
        <v>15</v>
      </c>
      <c r="W65" s="14">
        <v>4.0</v>
      </c>
    </row>
    <row r="66" ht="18.0" customHeight="1">
      <c r="A66" s="59" t="s">
        <v>156</v>
      </c>
      <c r="B66" s="60">
        <f>SUMIF($I:$I,"E03-HU02",C:C)+SUMIF($I:$I,"E03-HU02",D:D)+SUMIF($I:$I,"E03-HU02",E:E)+SUMIF($I:$I,"E03-HU02",F:F)+SUMIF($I:$I,"E03-HU02",G:G)+SUMIF($I:$I,"E03-HU02",H:H)</f>
        <v>28</v>
      </c>
      <c r="C66" s="23"/>
      <c r="D66" s="23"/>
      <c r="E66" s="23"/>
      <c r="F66" s="23"/>
      <c r="G66" s="23"/>
      <c r="H66" s="23"/>
      <c r="I66" s="23"/>
      <c r="K66" s="2"/>
      <c r="L66" s="2"/>
      <c r="M66" s="2"/>
      <c r="N66" s="2"/>
      <c r="P66" s="2"/>
      <c r="R66" s="2"/>
      <c r="S66" s="2"/>
      <c r="T66" s="2"/>
      <c r="U66" s="61" t="s">
        <v>154</v>
      </c>
      <c r="V66" s="13">
        <f t="shared" si="1"/>
        <v>15</v>
      </c>
      <c r="W66" s="14">
        <v>4.0</v>
      </c>
    </row>
    <row r="67" ht="18.0" customHeight="1">
      <c r="A67" s="15" t="s">
        <v>157</v>
      </c>
      <c r="B67" s="13">
        <v>4.0</v>
      </c>
      <c r="C67" s="17"/>
      <c r="D67" s="17"/>
      <c r="E67" s="17"/>
      <c r="F67" s="17"/>
      <c r="G67" s="17"/>
      <c r="H67" s="16">
        <v>4.0</v>
      </c>
      <c r="I67" s="18" t="s">
        <v>126</v>
      </c>
      <c r="K67" s="2"/>
      <c r="L67" s="2"/>
      <c r="M67" s="2"/>
      <c r="N67" s="2"/>
      <c r="P67" s="19" t="s">
        <v>151</v>
      </c>
      <c r="R67" s="2"/>
      <c r="S67" s="2"/>
      <c r="T67" s="2"/>
      <c r="U67" s="61" t="s">
        <v>158</v>
      </c>
      <c r="V67" s="13">
        <f t="shared" si="1"/>
        <v>15</v>
      </c>
      <c r="W67" s="14">
        <v>4.0</v>
      </c>
    </row>
    <row r="68" ht="31.5" customHeight="1">
      <c r="A68" s="15" t="s">
        <v>159</v>
      </c>
      <c r="B68" s="13">
        <v>4.0</v>
      </c>
      <c r="C68" s="17"/>
      <c r="D68" s="17"/>
      <c r="E68" s="16">
        <v>4.0</v>
      </c>
      <c r="F68" s="17"/>
      <c r="G68" s="17"/>
      <c r="H68" s="17"/>
      <c r="I68" s="18" t="s">
        <v>126</v>
      </c>
      <c r="K68" s="2"/>
      <c r="L68" s="2"/>
      <c r="M68" s="2"/>
      <c r="N68" s="2"/>
      <c r="P68" s="19" t="s">
        <v>151</v>
      </c>
      <c r="R68" s="2"/>
      <c r="S68" s="2"/>
      <c r="T68" s="2"/>
      <c r="U68" s="61" t="s">
        <v>158</v>
      </c>
      <c r="V68" s="13">
        <f t="shared" si="1"/>
        <v>15</v>
      </c>
      <c r="W68" s="14">
        <v>4.0</v>
      </c>
    </row>
    <row r="69" ht="31.5" customHeight="1">
      <c r="A69" s="15" t="s">
        <v>160</v>
      </c>
      <c r="B69" s="13">
        <v>4.0</v>
      </c>
      <c r="C69" s="17"/>
      <c r="D69" s="17"/>
      <c r="E69" s="16">
        <v>4.0</v>
      </c>
      <c r="F69" s="17"/>
      <c r="G69" s="17"/>
      <c r="H69" s="17"/>
      <c r="I69" s="18" t="s">
        <v>126</v>
      </c>
      <c r="K69" s="2"/>
      <c r="L69" s="2"/>
      <c r="M69" s="2"/>
      <c r="N69" s="2"/>
      <c r="P69" s="19" t="s">
        <v>151</v>
      </c>
      <c r="R69" s="2"/>
      <c r="S69" s="2"/>
      <c r="T69" s="2"/>
      <c r="U69" s="61" t="s">
        <v>158</v>
      </c>
      <c r="V69" s="13">
        <f t="shared" si="1"/>
        <v>15</v>
      </c>
      <c r="W69" s="14">
        <v>4.0</v>
      </c>
    </row>
    <row r="70" ht="18.0" customHeight="1">
      <c r="A70" s="15" t="s">
        <v>161</v>
      </c>
      <c r="B70" s="13">
        <v>3.0</v>
      </c>
      <c r="C70" s="17"/>
      <c r="D70" s="17"/>
      <c r="E70" s="17"/>
      <c r="F70" s="17"/>
      <c r="G70" s="17"/>
      <c r="H70" s="16">
        <v>3.0</v>
      </c>
      <c r="I70" s="18" t="s">
        <v>126</v>
      </c>
      <c r="K70" s="2"/>
      <c r="L70" s="2"/>
      <c r="M70" s="2"/>
      <c r="N70" s="2"/>
      <c r="P70" s="19" t="s">
        <v>151</v>
      </c>
      <c r="R70" s="2"/>
      <c r="S70" s="2"/>
      <c r="T70" s="2"/>
      <c r="U70" s="62" t="s">
        <v>162</v>
      </c>
      <c r="V70" s="13">
        <f t="shared" si="1"/>
        <v>23</v>
      </c>
      <c r="W70" s="14">
        <v>4.0</v>
      </c>
    </row>
    <row r="71" ht="31.5" customHeight="1">
      <c r="A71" s="15" t="s">
        <v>163</v>
      </c>
      <c r="B71" s="13">
        <v>4.0</v>
      </c>
      <c r="C71" s="17"/>
      <c r="D71" s="17"/>
      <c r="E71" s="16">
        <v>4.0</v>
      </c>
      <c r="F71" s="17"/>
      <c r="G71" s="17"/>
      <c r="H71" s="17"/>
      <c r="I71" s="18" t="s">
        <v>126</v>
      </c>
      <c r="K71" s="2"/>
      <c r="L71" s="2"/>
      <c r="M71" s="2"/>
      <c r="N71" s="2"/>
      <c r="P71" s="19" t="s">
        <v>151</v>
      </c>
      <c r="R71" s="2"/>
      <c r="S71" s="2"/>
      <c r="T71" s="2"/>
      <c r="U71" s="62" t="s">
        <v>162</v>
      </c>
      <c r="V71" s="13">
        <f t="shared" si="1"/>
        <v>23</v>
      </c>
      <c r="W71" s="14">
        <v>4.0</v>
      </c>
    </row>
    <row r="72" ht="18.0" customHeight="1">
      <c r="A72" s="15" t="s">
        <v>164</v>
      </c>
      <c r="B72" s="13">
        <v>5.0</v>
      </c>
      <c r="C72" s="17"/>
      <c r="D72" s="17"/>
      <c r="E72" s="16">
        <v>5.0</v>
      </c>
      <c r="F72" s="17"/>
      <c r="G72" s="17"/>
      <c r="H72" s="17"/>
      <c r="I72" s="18" t="s">
        <v>126</v>
      </c>
      <c r="K72" s="2"/>
      <c r="L72" s="2"/>
      <c r="M72" s="2"/>
      <c r="N72" s="2"/>
      <c r="P72" s="19" t="s">
        <v>151</v>
      </c>
      <c r="R72" s="2"/>
      <c r="S72" s="2"/>
      <c r="T72" s="2"/>
      <c r="U72" s="62" t="s">
        <v>162</v>
      </c>
      <c r="V72" s="13">
        <f t="shared" si="1"/>
        <v>23</v>
      </c>
      <c r="W72" s="14">
        <v>4.0</v>
      </c>
    </row>
    <row r="73" ht="18.0" customHeight="1">
      <c r="A73" s="15" t="s">
        <v>165</v>
      </c>
      <c r="B73" s="13">
        <v>4.0</v>
      </c>
      <c r="C73" s="17"/>
      <c r="D73" s="17"/>
      <c r="E73" s="17"/>
      <c r="F73" s="17"/>
      <c r="G73" s="16">
        <v>4.0</v>
      </c>
      <c r="H73" s="17"/>
      <c r="I73" s="18" t="s">
        <v>126</v>
      </c>
      <c r="K73" s="2"/>
      <c r="L73" s="2"/>
      <c r="M73" s="2"/>
      <c r="N73" s="2"/>
      <c r="P73" s="19" t="s">
        <v>151</v>
      </c>
      <c r="R73" s="2"/>
      <c r="S73" s="2"/>
      <c r="T73" s="2"/>
      <c r="U73" s="62" t="s">
        <v>162</v>
      </c>
      <c r="V73" s="13">
        <f t="shared" si="1"/>
        <v>23</v>
      </c>
      <c r="W73" s="14">
        <v>4.0</v>
      </c>
    </row>
    <row r="74" ht="18.0" customHeight="1">
      <c r="A74" s="59" t="s">
        <v>166</v>
      </c>
      <c r="B74" s="60">
        <f>SUMIF($I:$I,"E03-HU03",C:C)+SUMIF($I:$I,"E03-HU03",D:D)+SUMIF($I:$I,"E03-HU03",E:E)+SUMIF($I:$I,"E03-HU03",F:F)+SUMIF($I:$I,"E03-HU03",G:G)+SUMIF($I:$I,"E03-HU03",H:H)</f>
        <v>11</v>
      </c>
      <c r="C74" s="23"/>
      <c r="D74" s="23"/>
      <c r="E74" s="23"/>
      <c r="F74" s="23"/>
      <c r="G74" s="23"/>
      <c r="H74" s="23"/>
      <c r="I74" s="23"/>
      <c r="K74" s="2"/>
      <c r="L74" s="2"/>
      <c r="M74" s="2"/>
      <c r="N74" s="2"/>
      <c r="P74" s="2"/>
      <c r="R74" s="2"/>
      <c r="S74" s="2"/>
      <c r="T74" s="2"/>
      <c r="U74" s="62" t="s">
        <v>162</v>
      </c>
      <c r="V74" s="13">
        <f t="shared" si="1"/>
        <v>23</v>
      </c>
      <c r="W74" s="14">
        <v>4.0</v>
      </c>
    </row>
    <row r="75" ht="18.0" customHeight="1">
      <c r="A75" s="15" t="s">
        <v>167</v>
      </c>
      <c r="B75" s="13">
        <v>4.0</v>
      </c>
      <c r="C75" s="17"/>
      <c r="D75" s="17"/>
      <c r="E75" s="16">
        <v>4.0</v>
      </c>
      <c r="F75" s="17"/>
      <c r="G75" s="17"/>
      <c r="H75" s="17"/>
      <c r="I75" s="18" t="s">
        <v>135</v>
      </c>
      <c r="K75" s="2"/>
      <c r="L75" s="2"/>
      <c r="M75" s="2"/>
      <c r="N75" s="2"/>
      <c r="P75" s="19" t="s">
        <v>151</v>
      </c>
      <c r="R75" s="2"/>
      <c r="S75" s="2"/>
      <c r="T75" s="2"/>
      <c r="U75" s="62" t="s">
        <v>168</v>
      </c>
      <c r="V75" s="13">
        <f t="shared" si="1"/>
        <v>17</v>
      </c>
      <c r="W75" s="14">
        <v>4.0</v>
      </c>
    </row>
    <row r="76" ht="18.0" customHeight="1">
      <c r="A76" s="15" t="s">
        <v>169</v>
      </c>
      <c r="B76" s="13">
        <v>4.0</v>
      </c>
      <c r="C76" s="17"/>
      <c r="D76" s="17"/>
      <c r="E76" s="17"/>
      <c r="F76" s="17"/>
      <c r="G76" s="17"/>
      <c r="H76" s="16">
        <v>4.0</v>
      </c>
      <c r="I76" s="18" t="s">
        <v>135</v>
      </c>
      <c r="K76" s="2"/>
      <c r="L76" s="2"/>
      <c r="M76" s="2"/>
      <c r="N76" s="2"/>
      <c r="P76" s="19" t="s">
        <v>151</v>
      </c>
      <c r="R76" s="2"/>
      <c r="S76" s="2"/>
      <c r="T76" s="2"/>
      <c r="U76" s="62" t="s">
        <v>168</v>
      </c>
      <c r="V76" s="13">
        <f t="shared" si="1"/>
        <v>17</v>
      </c>
      <c r="W76" s="14">
        <v>4.0</v>
      </c>
    </row>
    <row r="77" ht="18.0" customHeight="1">
      <c r="A77" s="15" t="s">
        <v>170</v>
      </c>
      <c r="B77" s="13">
        <v>3.0</v>
      </c>
      <c r="C77" s="17"/>
      <c r="D77" s="17"/>
      <c r="E77" s="17"/>
      <c r="F77" s="17"/>
      <c r="G77" s="16">
        <v>3.0</v>
      </c>
      <c r="H77" s="17"/>
      <c r="I77" s="18" t="s">
        <v>135</v>
      </c>
      <c r="K77" s="2"/>
      <c r="L77" s="2"/>
      <c r="M77" s="2"/>
      <c r="N77" s="2"/>
      <c r="P77" s="19" t="s">
        <v>151</v>
      </c>
      <c r="R77" s="2"/>
      <c r="S77" s="2"/>
      <c r="T77" s="2"/>
      <c r="U77" s="62" t="s">
        <v>168</v>
      </c>
      <c r="V77" s="13">
        <f t="shared" si="1"/>
        <v>17</v>
      </c>
      <c r="W77" s="14">
        <v>4.0</v>
      </c>
    </row>
    <row r="78" ht="18.0" customHeight="1">
      <c r="A78" s="59" t="s">
        <v>171</v>
      </c>
      <c r="B78" s="60">
        <f>SUMIF($I:$I,"E03-HU04",C:C)+SUMIF($I:$I,"E03-HU04",D:D)+SUMIF($I:$I,"E03-HU04",E:E)+SUMIF($I:$I,"E03-HU04",F:F)+SUMIF($I:$I,"E03-HU04",G:G)+SUMIF($I:$I,"E03-HU04",H:H)</f>
        <v>23</v>
      </c>
      <c r="C78" s="23"/>
      <c r="D78" s="23"/>
      <c r="E78" s="23"/>
      <c r="F78" s="23"/>
      <c r="G78" s="23"/>
      <c r="H78" s="23"/>
      <c r="I78" s="23"/>
      <c r="K78" s="2"/>
      <c r="L78" s="2"/>
      <c r="M78" s="2"/>
      <c r="N78" s="2"/>
      <c r="P78" s="2"/>
      <c r="R78" s="2"/>
      <c r="S78" s="2"/>
      <c r="T78" s="2"/>
      <c r="U78" s="62" t="s">
        <v>172</v>
      </c>
      <c r="V78" s="13">
        <f t="shared" si="1"/>
        <v>63</v>
      </c>
      <c r="W78" s="14">
        <v>5.0</v>
      </c>
    </row>
    <row r="79" ht="18.0" customHeight="1">
      <c r="A79" s="15" t="s">
        <v>173</v>
      </c>
      <c r="B79" s="13">
        <v>5.0</v>
      </c>
      <c r="C79" s="17"/>
      <c r="D79" s="17"/>
      <c r="E79" s="17"/>
      <c r="F79" s="17"/>
      <c r="G79" s="17"/>
      <c r="H79" s="16">
        <v>5.0</v>
      </c>
      <c r="I79" s="18" t="s">
        <v>139</v>
      </c>
      <c r="K79" s="2"/>
      <c r="L79" s="2"/>
      <c r="M79" s="2"/>
      <c r="N79" s="2"/>
      <c r="P79" s="19" t="s">
        <v>151</v>
      </c>
      <c r="R79" s="2"/>
      <c r="S79" s="2"/>
      <c r="T79" s="2"/>
      <c r="U79" s="62" t="s">
        <v>172</v>
      </c>
      <c r="V79" s="13">
        <f t="shared" si="1"/>
        <v>63</v>
      </c>
      <c r="W79" s="14">
        <v>5.0</v>
      </c>
    </row>
    <row r="80" ht="18.0" customHeight="1">
      <c r="A80" s="15" t="s">
        <v>174</v>
      </c>
      <c r="B80" s="13">
        <v>4.0</v>
      </c>
      <c r="C80" s="17"/>
      <c r="D80" s="17"/>
      <c r="E80" s="17"/>
      <c r="F80" s="17"/>
      <c r="G80" s="17"/>
      <c r="H80" s="16">
        <v>4.0</v>
      </c>
      <c r="I80" s="18" t="s">
        <v>139</v>
      </c>
      <c r="K80" s="2"/>
      <c r="L80" s="2"/>
      <c r="M80" s="2"/>
      <c r="N80" s="2"/>
      <c r="P80" s="19" t="s">
        <v>151</v>
      </c>
      <c r="R80" s="2"/>
      <c r="S80" s="2"/>
      <c r="T80" s="2"/>
      <c r="U80" s="62" t="s">
        <v>172</v>
      </c>
      <c r="V80" s="13">
        <f t="shared" si="1"/>
        <v>63</v>
      </c>
      <c r="W80" s="14">
        <v>5.0</v>
      </c>
    </row>
    <row r="81" ht="18.0" customHeight="1">
      <c r="A81" s="15" t="s">
        <v>175</v>
      </c>
      <c r="B81" s="13">
        <v>5.0</v>
      </c>
      <c r="C81" s="17"/>
      <c r="D81" s="17"/>
      <c r="E81" s="16">
        <v>5.0</v>
      </c>
      <c r="F81" s="17"/>
      <c r="G81" s="17"/>
      <c r="H81" s="17"/>
      <c r="I81" s="18" t="s">
        <v>139</v>
      </c>
      <c r="K81" s="2"/>
      <c r="L81" s="2"/>
      <c r="M81" s="2"/>
      <c r="N81" s="2"/>
      <c r="P81" s="19" t="s">
        <v>151</v>
      </c>
      <c r="R81" s="2"/>
      <c r="S81" s="2"/>
      <c r="T81" s="2"/>
      <c r="U81" s="62" t="s">
        <v>172</v>
      </c>
      <c r="V81" s="13">
        <f t="shared" si="1"/>
        <v>63</v>
      </c>
      <c r="W81" s="14">
        <v>5.0</v>
      </c>
    </row>
    <row r="82" ht="18.0" customHeight="1">
      <c r="A82" s="15" t="s">
        <v>176</v>
      </c>
      <c r="B82" s="13">
        <v>5.0</v>
      </c>
      <c r="C82" s="17"/>
      <c r="D82" s="17"/>
      <c r="E82" s="16">
        <v>5.0</v>
      </c>
      <c r="F82" s="17"/>
      <c r="G82" s="17"/>
      <c r="H82" s="17"/>
      <c r="I82" s="18" t="s">
        <v>139</v>
      </c>
      <c r="K82" s="2"/>
      <c r="L82" s="2"/>
      <c r="M82" s="2"/>
      <c r="N82" s="2"/>
      <c r="P82" s="19" t="s">
        <v>151</v>
      </c>
      <c r="R82" s="2"/>
      <c r="S82" s="2"/>
      <c r="T82" s="2"/>
      <c r="U82" s="62" t="s">
        <v>172</v>
      </c>
      <c r="V82" s="13">
        <f t="shared" si="1"/>
        <v>63</v>
      </c>
      <c r="W82" s="14">
        <v>5.0</v>
      </c>
    </row>
    <row r="83" ht="18.0" customHeight="1">
      <c r="A83" s="15" t="s">
        <v>177</v>
      </c>
      <c r="B83" s="13">
        <v>4.0</v>
      </c>
      <c r="C83" s="17"/>
      <c r="D83" s="17"/>
      <c r="E83" s="17"/>
      <c r="F83" s="17"/>
      <c r="G83" s="16">
        <v>4.0</v>
      </c>
      <c r="H83" s="17"/>
      <c r="I83" s="18" t="s">
        <v>139</v>
      </c>
      <c r="K83" s="2"/>
      <c r="L83" s="2"/>
      <c r="M83" s="2"/>
      <c r="N83" s="2"/>
      <c r="P83" s="19" t="s">
        <v>151</v>
      </c>
      <c r="R83" s="2"/>
      <c r="S83" s="2"/>
      <c r="T83" s="2"/>
      <c r="U83" s="62" t="s">
        <v>172</v>
      </c>
      <c r="V83" s="13">
        <f t="shared" si="1"/>
        <v>63</v>
      </c>
      <c r="W83" s="14">
        <v>5.0</v>
      </c>
    </row>
    <row r="84" ht="18.0" customHeight="1">
      <c r="A84" s="57" t="s">
        <v>178</v>
      </c>
      <c r="B84" s="58">
        <f>SUMIF($I:$I,"E05-HU03",C:C)+SUMIF($I:$I,"E05-HU03",D:D)+SUMIF($I:$I,"E05-HU03",E:E)+SUMIF($I:$I,"E05-HU03",F:F)+SUMIF($I:$I,"E05-HU03",G:G)+SUMIF($I:$I,"E05-HU03",H:H)</f>
        <v>11</v>
      </c>
      <c r="C84" s="23"/>
      <c r="D84" s="23"/>
      <c r="E84" s="23"/>
      <c r="F84" s="23"/>
      <c r="G84" s="23"/>
      <c r="H84" s="23"/>
      <c r="I84" s="23"/>
      <c r="K84" s="2"/>
      <c r="L84" s="2"/>
      <c r="M84" s="2"/>
      <c r="N84" s="2"/>
      <c r="P84" s="2"/>
      <c r="R84" s="2"/>
      <c r="S84" s="2"/>
      <c r="T84" s="2"/>
      <c r="U84" s="62" t="s">
        <v>172</v>
      </c>
      <c r="V84" s="13">
        <f t="shared" si="1"/>
        <v>63</v>
      </c>
      <c r="W84" s="14">
        <v>5.0</v>
      </c>
    </row>
    <row r="85" ht="31.5" customHeight="1">
      <c r="A85" s="15" t="s">
        <v>179</v>
      </c>
      <c r="B85" s="13">
        <v>4.0</v>
      </c>
      <c r="C85" s="17"/>
      <c r="D85" s="17"/>
      <c r="E85" s="17"/>
      <c r="F85" s="17"/>
      <c r="G85" s="17"/>
      <c r="H85" s="16">
        <v>4.0</v>
      </c>
      <c r="I85" s="18" t="s">
        <v>145</v>
      </c>
      <c r="K85" s="2"/>
      <c r="L85" s="2"/>
      <c r="M85" s="2"/>
      <c r="N85" s="2"/>
      <c r="P85" s="19" t="s">
        <v>151</v>
      </c>
      <c r="R85" s="2"/>
      <c r="S85" s="2"/>
      <c r="T85" s="2"/>
      <c r="U85" s="62" t="s">
        <v>172</v>
      </c>
      <c r="V85" s="13">
        <f t="shared" si="1"/>
        <v>63</v>
      </c>
      <c r="W85" s="14">
        <v>5.0</v>
      </c>
    </row>
    <row r="86" ht="31.5" customHeight="1">
      <c r="A86" s="15" t="s">
        <v>180</v>
      </c>
      <c r="B86" s="13">
        <v>4.0</v>
      </c>
      <c r="C86" s="17"/>
      <c r="D86" s="17"/>
      <c r="E86" s="17"/>
      <c r="F86" s="17"/>
      <c r="G86" s="17"/>
      <c r="H86" s="16">
        <v>4.0</v>
      </c>
      <c r="I86" s="18" t="s">
        <v>145</v>
      </c>
      <c r="K86" s="2"/>
      <c r="L86" s="2"/>
      <c r="M86" s="2"/>
      <c r="N86" s="2"/>
      <c r="P86" s="19" t="s">
        <v>151</v>
      </c>
      <c r="R86" s="2"/>
      <c r="S86" s="2"/>
      <c r="T86" s="2"/>
      <c r="U86" s="62" t="s">
        <v>172</v>
      </c>
      <c r="V86" s="13">
        <f t="shared" si="1"/>
        <v>63</v>
      </c>
      <c r="W86" s="14">
        <v>5.0</v>
      </c>
    </row>
    <row r="87" ht="18.0" customHeight="1">
      <c r="A87" s="15" t="s">
        <v>181</v>
      </c>
      <c r="B87" s="13">
        <v>3.0</v>
      </c>
      <c r="C87" s="17"/>
      <c r="D87" s="17"/>
      <c r="E87" s="17"/>
      <c r="F87" s="17"/>
      <c r="G87" s="16">
        <v>3.0</v>
      </c>
      <c r="H87" s="17"/>
      <c r="I87" s="18" t="s">
        <v>145</v>
      </c>
      <c r="K87" s="2"/>
      <c r="L87" s="2"/>
      <c r="M87" s="2"/>
      <c r="N87" s="2"/>
      <c r="P87" s="19" t="s">
        <v>151</v>
      </c>
      <c r="R87" s="2"/>
      <c r="S87" s="2"/>
      <c r="T87" s="2"/>
      <c r="U87" s="63" t="s">
        <v>182</v>
      </c>
      <c r="V87" s="13">
        <f t="shared" si="1"/>
        <v>31</v>
      </c>
      <c r="W87" s="14">
        <v>5.0</v>
      </c>
    </row>
    <row r="88" ht="19.5" customHeight="1">
      <c r="A88" s="21" t="s">
        <v>183</v>
      </c>
      <c r="B88" s="22">
        <f>SUMIF($P:$P,"S3",C:C)+SUMIF($P:$P,"S3",D:D)+SUMIF($P:$P,"S3",E:E)+SUMIF($P:$P,"S3",F:F)+SUMIF($P:$P,"S3",G:G)+SUMIF($P:$P,"S3",H:H)</f>
        <v>94</v>
      </c>
      <c r="C88" s="23"/>
      <c r="D88" s="23"/>
      <c r="E88" s="23"/>
      <c r="F88" s="23"/>
      <c r="G88" s="23"/>
      <c r="H88" s="23"/>
      <c r="I88" s="23"/>
      <c r="K88" s="2"/>
      <c r="L88" s="2"/>
      <c r="M88" s="2"/>
      <c r="N88" s="2"/>
      <c r="P88" s="2"/>
      <c r="R88" s="2"/>
      <c r="S88" s="2"/>
      <c r="T88" s="2"/>
      <c r="U88" s="63" t="s">
        <v>182</v>
      </c>
      <c r="V88" s="13">
        <f t="shared" si="1"/>
        <v>31</v>
      </c>
      <c r="W88" s="14">
        <v>5.0</v>
      </c>
    </row>
    <row r="89" ht="21.75" customHeight="1">
      <c r="A89" s="51" t="s">
        <v>184</v>
      </c>
      <c r="B89" s="7"/>
      <c r="C89" s="7"/>
      <c r="D89" s="7"/>
      <c r="E89" s="7"/>
      <c r="F89" s="7"/>
      <c r="G89" s="7"/>
      <c r="H89" s="7"/>
      <c r="I89" s="8"/>
      <c r="K89" s="2"/>
      <c r="L89" s="2"/>
      <c r="M89" s="2"/>
      <c r="N89" s="2"/>
      <c r="P89" s="2"/>
      <c r="R89" s="2"/>
      <c r="S89" s="2"/>
      <c r="T89" s="2"/>
      <c r="U89" s="63" t="s">
        <v>182</v>
      </c>
      <c r="V89" s="13">
        <f t="shared" si="1"/>
        <v>31</v>
      </c>
      <c r="W89" s="14">
        <v>5.0</v>
      </c>
    </row>
    <row r="90" ht="18.0" customHeight="1">
      <c r="A90" s="64" t="s">
        <v>185</v>
      </c>
      <c r="B90" s="65">
        <f>SUMIF($I:$I,"E04-HU01",C:C)+SUMIF($I:$I,"E04-HU01",D:D)+SUMIF($I:$I,"E04-HU01",E:E)+SUMIF($I:$I,"E04-HU01",F:F)+SUMIF($I:$I,"E04-HU01",G:G)+SUMIF($I:$I,"E04-HU01",H:H)</f>
        <v>14</v>
      </c>
      <c r="C90" s="23"/>
      <c r="D90" s="23"/>
      <c r="E90" s="23"/>
      <c r="F90" s="23"/>
      <c r="G90" s="23"/>
      <c r="H90" s="23"/>
      <c r="I90" s="23"/>
      <c r="K90" s="2"/>
      <c r="L90" s="2"/>
      <c r="M90" s="2"/>
      <c r="N90" s="2"/>
      <c r="P90" s="2"/>
      <c r="R90" s="2"/>
      <c r="S90" s="2"/>
      <c r="T90" s="2"/>
      <c r="U90" s="63" t="s">
        <v>182</v>
      </c>
      <c r="V90" s="13">
        <f t="shared" si="1"/>
        <v>31</v>
      </c>
      <c r="W90" s="14">
        <v>5.0</v>
      </c>
    </row>
    <row r="91" ht="18.0" customHeight="1">
      <c r="A91" s="15" t="s">
        <v>186</v>
      </c>
      <c r="B91" s="13">
        <v>5.0</v>
      </c>
      <c r="C91" s="17"/>
      <c r="D91" s="17"/>
      <c r="E91" s="16">
        <v>5.0</v>
      </c>
      <c r="F91" s="17"/>
      <c r="G91" s="17"/>
      <c r="H91" s="17"/>
      <c r="I91" s="18" t="s">
        <v>149</v>
      </c>
      <c r="K91" s="2"/>
      <c r="L91" s="2"/>
      <c r="M91" s="2"/>
      <c r="N91" s="2"/>
      <c r="P91" s="19" t="s">
        <v>187</v>
      </c>
      <c r="R91" s="2"/>
      <c r="S91" s="2"/>
      <c r="T91" s="2"/>
      <c r="U91" s="63" t="s">
        <v>182</v>
      </c>
      <c r="V91" s="13">
        <f t="shared" si="1"/>
        <v>31</v>
      </c>
      <c r="W91" s="14">
        <v>5.0</v>
      </c>
    </row>
    <row r="92" ht="18.0" customHeight="1">
      <c r="A92" s="15" t="s">
        <v>188</v>
      </c>
      <c r="B92" s="13">
        <v>5.0</v>
      </c>
      <c r="C92" s="17"/>
      <c r="D92" s="17"/>
      <c r="E92" s="17"/>
      <c r="F92" s="16">
        <v>5.0</v>
      </c>
      <c r="G92" s="17"/>
      <c r="H92" s="17"/>
      <c r="I92" s="18" t="s">
        <v>149</v>
      </c>
      <c r="K92" s="2"/>
      <c r="L92" s="2"/>
      <c r="M92" s="2"/>
      <c r="N92" s="2"/>
      <c r="P92" s="19" t="s">
        <v>187</v>
      </c>
      <c r="R92" s="2"/>
      <c r="S92" s="2"/>
      <c r="T92" s="2"/>
      <c r="U92" s="63" t="s">
        <v>189</v>
      </c>
      <c r="V92" s="13">
        <f t="shared" si="1"/>
        <v>15</v>
      </c>
      <c r="W92" s="14">
        <v>5.0</v>
      </c>
    </row>
    <row r="93" ht="18.0" customHeight="1">
      <c r="A93" s="15" t="s">
        <v>190</v>
      </c>
      <c r="B93" s="13">
        <v>4.0</v>
      </c>
      <c r="C93" s="17"/>
      <c r="D93" s="17"/>
      <c r="E93" s="17"/>
      <c r="F93" s="17"/>
      <c r="G93" s="16">
        <v>4.0</v>
      </c>
      <c r="H93" s="17"/>
      <c r="I93" s="18" t="s">
        <v>149</v>
      </c>
      <c r="K93" s="2"/>
      <c r="L93" s="2"/>
      <c r="M93" s="2"/>
      <c r="N93" s="2"/>
      <c r="P93" s="19" t="s">
        <v>187</v>
      </c>
      <c r="R93" s="2"/>
      <c r="S93" s="2"/>
      <c r="T93" s="2"/>
      <c r="U93" s="63" t="s">
        <v>189</v>
      </c>
      <c r="V93" s="13">
        <f t="shared" si="1"/>
        <v>15</v>
      </c>
      <c r="W93" s="14">
        <v>5.0</v>
      </c>
    </row>
    <row r="94" ht="18.0" customHeight="1">
      <c r="A94" s="64" t="s">
        <v>191</v>
      </c>
      <c r="B94" s="65">
        <f>SUMIF($I:$I,"E04-HU02",C:C)+SUMIF($I:$I,"E04-HU02",D:D)+SUMIF($I:$I,"E04-HU02",E:E)+SUMIF($I:$I,"E04-HU02",F:F)+SUMIF($I:$I,"E04-HU02",G:G)+SUMIF($I:$I,"E04-HU02",H:H)</f>
        <v>15</v>
      </c>
      <c r="C94" s="23"/>
      <c r="D94" s="23"/>
      <c r="E94" s="23"/>
      <c r="F94" s="23"/>
      <c r="G94" s="23"/>
      <c r="H94" s="23"/>
      <c r="I94" s="23"/>
      <c r="K94" s="2"/>
      <c r="L94" s="2"/>
      <c r="M94" s="2"/>
      <c r="N94" s="2"/>
      <c r="P94" s="2"/>
      <c r="R94" s="2"/>
      <c r="S94" s="2"/>
      <c r="T94" s="2"/>
      <c r="U94" s="63" t="s">
        <v>189</v>
      </c>
      <c r="V94" s="13">
        <f t="shared" si="1"/>
        <v>15</v>
      </c>
      <c r="W94" s="14">
        <v>5.0</v>
      </c>
    </row>
    <row r="95" ht="18.0" customHeight="1">
      <c r="A95" s="15" t="s">
        <v>192</v>
      </c>
      <c r="B95" s="13">
        <v>6.0</v>
      </c>
      <c r="C95" s="17"/>
      <c r="D95" s="17"/>
      <c r="E95" s="16">
        <v>6.0</v>
      </c>
      <c r="F95" s="17"/>
      <c r="G95" s="17"/>
      <c r="H95" s="17"/>
      <c r="I95" s="18" t="s">
        <v>154</v>
      </c>
      <c r="K95" s="2"/>
      <c r="L95" s="2"/>
      <c r="M95" s="2"/>
      <c r="N95" s="2"/>
      <c r="P95" s="19" t="s">
        <v>187</v>
      </c>
      <c r="R95" s="2"/>
      <c r="S95" s="2"/>
      <c r="T95" s="2"/>
      <c r="U95" s="66" t="s">
        <v>193</v>
      </c>
      <c r="V95" s="67">
        <f>SUM(V5:V94)</f>
        <v>2219</v>
      </c>
      <c r="W95" s="2"/>
    </row>
    <row r="96" ht="18.0" customHeight="1">
      <c r="A96" s="15" t="s">
        <v>194</v>
      </c>
      <c r="B96" s="13">
        <v>5.0</v>
      </c>
      <c r="C96" s="17"/>
      <c r="D96" s="17"/>
      <c r="E96" s="17"/>
      <c r="F96" s="16">
        <v>5.0</v>
      </c>
      <c r="G96" s="17"/>
      <c r="H96" s="17"/>
      <c r="I96" s="18" t="s">
        <v>154</v>
      </c>
      <c r="K96" s="2"/>
      <c r="L96" s="2"/>
      <c r="M96" s="2"/>
      <c r="N96" s="2"/>
      <c r="P96" s="19" t="s">
        <v>187</v>
      </c>
      <c r="R96" s="2"/>
      <c r="S96" s="2"/>
      <c r="T96" s="2"/>
      <c r="U96" s="2"/>
      <c r="V96" s="2"/>
      <c r="W96" s="2"/>
    </row>
    <row r="97" ht="18.0" customHeight="1">
      <c r="A97" s="15" t="s">
        <v>195</v>
      </c>
      <c r="B97" s="13">
        <v>4.0</v>
      </c>
      <c r="C97" s="17"/>
      <c r="D97" s="17"/>
      <c r="E97" s="17"/>
      <c r="F97" s="17"/>
      <c r="G97" s="16">
        <v>4.0</v>
      </c>
      <c r="H97" s="17"/>
      <c r="I97" s="18" t="s">
        <v>154</v>
      </c>
      <c r="K97" s="2"/>
      <c r="L97" s="2"/>
      <c r="M97" s="2"/>
      <c r="N97" s="2"/>
      <c r="P97" s="19" t="s">
        <v>187</v>
      </c>
      <c r="R97" s="2"/>
      <c r="S97" s="2"/>
      <c r="T97" s="2"/>
      <c r="U97" s="2"/>
      <c r="V97" s="2"/>
      <c r="W97" s="2"/>
    </row>
    <row r="98" ht="18.0" customHeight="1">
      <c r="A98" s="64" t="s">
        <v>196</v>
      </c>
      <c r="B98" s="65">
        <f>SUMIF($I:$I,"E04-HU03",C:C)+SUMIF($I:$I,"E04-HU03",D:D)+SUMIF($I:$I,"E04-HU03",E:E)+SUMIF($I:$I,"E04-HU03",F:F)+SUMIF($I:$I,"E04-HU03",G:G)+SUMIF($I:$I,"E04-HU03",H:H)</f>
        <v>15</v>
      </c>
      <c r="C98" s="23"/>
      <c r="D98" s="23"/>
      <c r="E98" s="23"/>
      <c r="F98" s="23"/>
      <c r="G98" s="23"/>
      <c r="H98" s="23"/>
      <c r="I98" s="23"/>
      <c r="K98" s="2"/>
      <c r="L98" s="2"/>
      <c r="M98" s="2"/>
      <c r="N98" s="2"/>
      <c r="P98" s="2"/>
      <c r="R98" s="2"/>
      <c r="S98" s="2"/>
      <c r="T98" s="2"/>
      <c r="U98" s="2"/>
      <c r="V98" s="2"/>
      <c r="W98" s="2"/>
    </row>
    <row r="99" ht="18.0" customHeight="1">
      <c r="A99" s="15" t="s">
        <v>197</v>
      </c>
      <c r="B99" s="13">
        <v>6.0</v>
      </c>
      <c r="C99" s="17"/>
      <c r="D99" s="17"/>
      <c r="E99" s="16">
        <v>6.0</v>
      </c>
      <c r="F99" s="17"/>
      <c r="G99" s="17"/>
      <c r="H99" s="17"/>
      <c r="I99" s="18" t="s">
        <v>158</v>
      </c>
      <c r="K99" s="2"/>
      <c r="L99" s="2"/>
      <c r="M99" s="2"/>
      <c r="N99" s="2"/>
      <c r="P99" s="19" t="s">
        <v>187</v>
      </c>
      <c r="R99" s="2"/>
      <c r="S99" s="2"/>
      <c r="T99" s="2"/>
      <c r="U99" s="2"/>
      <c r="V99" s="2"/>
      <c r="W99" s="2"/>
    </row>
    <row r="100" ht="18.0" customHeight="1">
      <c r="A100" s="15" t="s">
        <v>198</v>
      </c>
      <c r="B100" s="13">
        <v>5.0</v>
      </c>
      <c r="C100" s="17"/>
      <c r="D100" s="17"/>
      <c r="E100" s="17"/>
      <c r="F100" s="16">
        <v>5.0</v>
      </c>
      <c r="G100" s="17"/>
      <c r="H100" s="17"/>
      <c r="I100" s="18" t="s">
        <v>158</v>
      </c>
      <c r="K100" s="2"/>
      <c r="L100" s="2"/>
      <c r="M100" s="2"/>
      <c r="N100" s="2"/>
      <c r="P100" s="19" t="s">
        <v>187</v>
      </c>
      <c r="R100" s="2"/>
      <c r="S100" s="2"/>
      <c r="T100" s="2"/>
      <c r="U100" s="2"/>
      <c r="V100" s="2"/>
      <c r="W100" s="2"/>
    </row>
    <row r="101" ht="18.0" customHeight="1">
      <c r="A101" s="15" t="s">
        <v>199</v>
      </c>
      <c r="B101" s="13">
        <v>4.0</v>
      </c>
      <c r="C101" s="17"/>
      <c r="D101" s="17"/>
      <c r="E101" s="17"/>
      <c r="F101" s="17"/>
      <c r="G101" s="16">
        <v>4.0</v>
      </c>
      <c r="H101" s="17"/>
      <c r="I101" s="18" t="s">
        <v>158</v>
      </c>
      <c r="K101" s="2"/>
      <c r="L101" s="2"/>
      <c r="M101" s="2"/>
      <c r="N101" s="2"/>
      <c r="P101" s="19" t="s">
        <v>187</v>
      </c>
      <c r="R101" s="2"/>
      <c r="S101" s="2"/>
      <c r="T101" s="2"/>
      <c r="U101" s="2"/>
      <c r="V101" s="2"/>
      <c r="W101" s="2"/>
    </row>
    <row r="102" ht="18.0" customHeight="1">
      <c r="A102" s="68" t="s">
        <v>200</v>
      </c>
      <c r="B102" s="69">
        <f>SUMIF($I:$I,"E07-HU02",C:C)+SUMIF($I:$I,"E07-HU02",D:D)+SUMIF($I:$I,"E07-HU02",E:E)+SUMIF($I:$I,"E07-HU02",F:F)+SUMIF($I:$I,"E07-HU02",G:G)+SUMIF($I:$I,"E07-HU02",H:H)</f>
        <v>23</v>
      </c>
      <c r="C102" s="23"/>
      <c r="D102" s="23"/>
      <c r="E102" s="23"/>
      <c r="F102" s="23"/>
      <c r="G102" s="23"/>
      <c r="H102" s="23"/>
      <c r="I102" s="23"/>
      <c r="K102" s="2"/>
      <c r="L102" s="2"/>
      <c r="M102" s="2"/>
      <c r="N102" s="2"/>
      <c r="P102" s="2"/>
      <c r="R102" s="2"/>
      <c r="S102" s="2"/>
      <c r="T102" s="2"/>
      <c r="U102" s="2"/>
      <c r="V102" s="2"/>
      <c r="W102" s="2"/>
    </row>
    <row r="103" ht="18.0" customHeight="1">
      <c r="A103" s="15" t="s">
        <v>201</v>
      </c>
      <c r="B103" s="13">
        <v>6.0</v>
      </c>
      <c r="C103" s="17"/>
      <c r="D103" s="17"/>
      <c r="E103" s="16">
        <v>6.0</v>
      </c>
      <c r="F103" s="17"/>
      <c r="G103" s="17"/>
      <c r="H103" s="17"/>
      <c r="I103" s="18" t="s">
        <v>162</v>
      </c>
      <c r="K103" s="2"/>
      <c r="L103" s="2"/>
      <c r="M103" s="2"/>
      <c r="N103" s="2"/>
      <c r="P103" s="19" t="s">
        <v>187</v>
      </c>
      <c r="R103" s="2"/>
      <c r="S103" s="2"/>
      <c r="T103" s="2"/>
      <c r="U103" s="2"/>
      <c r="V103" s="2"/>
      <c r="W103" s="2"/>
    </row>
    <row r="104" ht="18.0" customHeight="1">
      <c r="A104" s="15" t="s">
        <v>202</v>
      </c>
      <c r="B104" s="13">
        <v>4.0</v>
      </c>
      <c r="C104" s="17"/>
      <c r="D104" s="17"/>
      <c r="E104" s="16">
        <v>4.0</v>
      </c>
      <c r="F104" s="17"/>
      <c r="G104" s="17"/>
      <c r="H104" s="17"/>
      <c r="I104" s="18" t="s">
        <v>162</v>
      </c>
      <c r="K104" s="2"/>
      <c r="L104" s="2"/>
      <c r="M104" s="2"/>
      <c r="N104" s="2"/>
      <c r="P104" s="19" t="s">
        <v>187</v>
      </c>
      <c r="R104" s="2"/>
      <c r="S104" s="2"/>
      <c r="T104" s="2"/>
      <c r="U104" s="2"/>
      <c r="V104" s="2"/>
      <c r="W104" s="2"/>
    </row>
    <row r="105" ht="31.5" customHeight="1">
      <c r="A105" s="15" t="s">
        <v>203</v>
      </c>
      <c r="B105" s="13">
        <v>4.0</v>
      </c>
      <c r="C105" s="17"/>
      <c r="D105" s="17"/>
      <c r="E105" s="16">
        <v>4.0</v>
      </c>
      <c r="F105" s="17"/>
      <c r="G105" s="17"/>
      <c r="H105" s="17"/>
      <c r="I105" s="18" t="s">
        <v>162</v>
      </c>
      <c r="K105" s="2"/>
      <c r="L105" s="2"/>
      <c r="M105" s="2"/>
      <c r="N105" s="2"/>
      <c r="P105" s="19" t="s">
        <v>187</v>
      </c>
      <c r="R105" s="2"/>
      <c r="S105" s="2"/>
      <c r="T105" s="2"/>
      <c r="U105" s="2"/>
      <c r="V105" s="2"/>
      <c r="W105" s="2"/>
    </row>
    <row r="106" ht="31.5" customHeight="1">
      <c r="A106" s="15" t="s">
        <v>204</v>
      </c>
      <c r="B106" s="13">
        <v>5.0</v>
      </c>
      <c r="C106" s="17"/>
      <c r="D106" s="17"/>
      <c r="E106" s="17"/>
      <c r="F106" s="17"/>
      <c r="G106" s="17"/>
      <c r="H106" s="16">
        <v>5.0</v>
      </c>
      <c r="I106" s="18" t="s">
        <v>162</v>
      </c>
      <c r="K106" s="2"/>
      <c r="L106" s="2"/>
      <c r="M106" s="2"/>
      <c r="N106" s="2"/>
      <c r="P106" s="19" t="s">
        <v>187</v>
      </c>
      <c r="R106" s="2"/>
      <c r="S106" s="2"/>
      <c r="T106" s="2"/>
      <c r="U106" s="2"/>
      <c r="V106" s="2"/>
      <c r="W106" s="2"/>
    </row>
    <row r="107" ht="18.0" customHeight="1">
      <c r="A107" s="15" t="s">
        <v>205</v>
      </c>
      <c r="B107" s="13">
        <v>4.0</v>
      </c>
      <c r="C107" s="17"/>
      <c r="D107" s="17"/>
      <c r="E107" s="17"/>
      <c r="F107" s="17"/>
      <c r="G107" s="16">
        <v>4.0</v>
      </c>
      <c r="H107" s="17"/>
      <c r="I107" s="18" t="s">
        <v>162</v>
      </c>
      <c r="K107" s="2"/>
      <c r="L107" s="2"/>
      <c r="M107" s="2"/>
      <c r="N107" s="2"/>
      <c r="P107" s="19" t="s">
        <v>187</v>
      </c>
      <c r="R107" s="2"/>
      <c r="S107" s="2"/>
      <c r="T107" s="2"/>
      <c r="U107" s="2"/>
      <c r="V107" s="2"/>
      <c r="W107" s="2"/>
    </row>
    <row r="108" ht="18.0" customHeight="1">
      <c r="A108" s="68" t="s">
        <v>206</v>
      </c>
      <c r="B108" s="69">
        <f>SUMIF($I:$I,"E07-HU03",C:C)+SUMIF($I:$I,"E07-HU03",D:D)+SUMIF($I:$I,"E07-HU03",E:E)+SUMIF($I:$I,"E07-HU03",F:F)+SUMIF($I:$I,"E07-HU03",G:G)+SUMIF($I:$I,"E07-HU03",H:H)</f>
        <v>17</v>
      </c>
      <c r="C108" s="23"/>
      <c r="D108" s="23"/>
      <c r="E108" s="23"/>
      <c r="F108" s="23"/>
      <c r="G108" s="23"/>
      <c r="H108" s="23"/>
      <c r="I108" s="23"/>
      <c r="K108" s="2"/>
      <c r="L108" s="2"/>
      <c r="M108" s="2"/>
      <c r="N108" s="2"/>
      <c r="P108" s="2"/>
      <c r="R108" s="2"/>
      <c r="S108" s="2"/>
      <c r="T108" s="2"/>
      <c r="U108" s="2"/>
      <c r="V108" s="2"/>
      <c r="W108" s="2"/>
    </row>
    <row r="109" ht="18.0" customHeight="1">
      <c r="A109" s="15" t="s">
        <v>207</v>
      </c>
      <c r="B109" s="13">
        <v>6.0</v>
      </c>
      <c r="C109" s="17"/>
      <c r="D109" s="17"/>
      <c r="E109" s="17"/>
      <c r="F109" s="17"/>
      <c r="G109" s="17"/>
      <c r="H109" s="16">
        <v>6.0</v>
      </c>
      <c r="I109" s="18" t="s">
        <v>168</v>
      </c>
      <c r="K109" s="2"/>
      <c r="L109" s="2"/>
      <c r="M109" s="2"/>
      <c r="N109" s="2"/>
      <c r="P109" s="19" t="s">
        <v>187</v>
      </c>
      <c r="R109" s="2"/>
      <c r="S109" s="2"/>
      <c r="T109" s="2"/>
      <c r="U109" s="2"/>
      <c r="V109" s="2"/>
      <c r="W109" s="2"/>
    </row>
    <row r="110" ht="18.0" customHeight="1">
      <c r="A110" s="15" t="s">
        <v>208</v>
      </c>
      <c r="B110" s="13">
        <v>5.0</v>
      </c>
      <c r="C110" s="17"/>
      <c r="D110" s="17"/>
      <c r="E110" s="17"/>
      <c r="F110" s="17"/>
      <c r="G110" s="17"/>
      <c r="H110" s="16">
        <v>5.0</v>
      </c>
      <c r="I110" s="18" t="s">
        <v>168</v>
      </c>
      <c r="K110" s="2"/>
      <c r="L110" s="2"/>
      <c r="M110" s="2"/>
      <c r="N110" s="2"/>
      <c r="P110" s="19" t="s">
        <v>187</v>
      </c>
      <c r="R110" s="2"/>
      <c r="S110" s="2"/>
      <c r="T110" s="2"/>
      <c r="U110" s="2"/>
      <c r="V110" s="2"/>
      <c r="W110" s="2"/>
    </row>
    <row r="111" ht="18.0" customHeight="1">
      <c r="A111" s="15" t="s">
        <v>209</v>
      </c>
      <c r="B111" s="13">
        <v>6.0</v>
      </c>
      <c r="C111" s="17"/>
      <c r="D111" s="17"/>
      <c r="E111" s="16">
        <v>6.0</v>
      </c>
      <c r="F111" s="17"/>
      <c r="G111" s="17"/>
      <c r="H111" s="17"/>
      <c r="I111" s="18" t="s">
        <v>168</v>
      </c>
      <c r="K111" s="2"/>
      <c r="L111" s="2"/>
      <c r="M111" s="2"/>
      <c r="N111" s="2"/>
      <c r="P111" s="19" t="s">
        <v>187</v>
      </c>
      <c r="R111" s="2"/>
      <c r="S111" s="2"/>
      <c r="T111" s="2"/>
      <c r="U111" s="2"/>
      <c r="V111" s="2"/>
      <c r="W111" s="2"/>
    </row>
    <row r="112" ht="19.5" customHeight="1">
      <c r="A112" s="21" t="s">
        <v>210</v>
      </c>
      <c r="B112" s="22">
        <f>SUMIF($P:$P,"S4",C:C)+SUMIF($P:$P,"S4",D:D)+SUMIF($P:$P,"S4",E:E)+SUMIF($P:$P,"S4",F:F)+SUMIF($P:$P,"S4",G:G)+SUMIF($P:$P,"S4",H:H)</f>
        <v>84</v>
      </c>
      <c r="C112" s="23"/>
      <c r="D112" s="23"/>
      <c r="E112" s="23"/>
      <c r="F112" s="23"/>
      <c r="G112" s="23"/>
      <c r="H112" s="23"/>
      <c r="I112" s="23"/>
      <c r="K112" s="2"/>
      <c r="L112" s="2"/>
      <c r="M112" s="2"/>
      <c r="N112" s="2"/>
      <c r="P112" s="2"/>
      <c r="R112" s="2"/>
      <c r="S112" s="2"/>
      <c r="T112" s="2"/>
      <c r="U112" s="2"/>
      <c r="V112" s="2"/>
      <c r="W112" s="2"/>
    </row>
    <row r="113" ht="21.75" customHeight="1">
      <c r="A113" s="25" t="s">
        <v>211</v>
      </c>
      <c r="B113" s="7"/>
      <c r="C113" s="7"/>
      <c r="D113" s="7"/>
      <c r="E113" s="7"/>
      <c r="F113" s="7"/>
      <c r="G113" s="7"/>
      <c r="H113" s="7"/>
      <c r="I113" s="8"/>
      <c r="K113" s="2"/>
      <c r="L113" s="2"/>
      <c r="M113" s="2"/>
      <c r="N113" s="2"/>
      <c r="P113" s="2"/>
      <c r="R113" s="2"/>
      <c r="S113" s="2"/>
      <c r="T113" s="2"/>
      <c r="U113" s="2"/>
      <c r="V113" s="2"/>
      <c r="W113" s="2"/>
    </row>
    <row r="114" ht="18.0" customHeight="1">
      <c r="A114" s="68" t="s">
        <v>212</v>
      </c>
      <c r="B114" s="69">
        <f>SUMIF($I:$I,"E07-HU01",C:C)+SUMIF($I:$I,"E07-HU01",D:D)+SUMIF($I:$I,"E07-HU01",E:E)+SUMIF($I:$I,"E07-HU01",F:F)+SUMIF($I:$I,"E07-HU01",G:G)+SUMIF($I:$I,"E07-HU01",H:H)</f>
        <v>63</v>
      </c>
      <c r="C114" s="23"/>
      <c r="D114" s="23"/>
      <c r="E114" s="23"/>
      <c r="F114" s="23"/>
      <c r="G114" s="23"/>
      <c r="H114" s="23"/>
      <c r="I114" s="23"/>
      <c r="K114" s="2"/>
      <c r="L114" s="2"/>
      <c r="M114" s="2"/>
      <c r="N114" s="2"/>
      <c r="P114" s="2"/>
      <c r="R114" s="2"/>
      <c r="S114" s="2"/>
      <c r="T114" s="2"/>
      <c r="U114" s="2"/>
      <c r="V114" s="2"/>
      <c r="W114" s="2"/>
    </row>
    <row r="115" ht="18.0" customHeight="1">
      <c r="A115" s="15" t="s">
        <v>213</v>
      </c>
      <c r="B115" s="13">
        <v>4.0</v>
      </c>
      <c r="C115" s="16">
        <v>4.0</v>
      </c>
      <c r="D115" s="17"/>
      <c r="E115" s="17"/>
      <c r="F115" s="17"/>
      <c r="G115" s="17"/>
      <c r="H115" s="17"/>
      <c r="I115" s="18" t="s">
        <v>172</v>
      </c>
      <c r="K115" s="2"/>
      <c r="L115" s="2"/>
      <c r="M115" s="2"/>
      <c r="N115" s="2"/>
      <c r="P115" s="19" t="s">
        <v>214</v>
      </c>
      <c r="R115" s="2"/>
      <c r="S115" s="2"/>
      <c r="T115" s="2"/>
      <c r="U115" s="2"/>
      <c r="V115" s="2"/>
      <c r="W115" s="2"/>
    </row>
    <row r="116" ht="18.0" customHeight="1">
      <c r="A116" s="15" t="s">
        <v>215</v>
      </c>
      <c r="B116" s="13">
        <v>8.0</v>
      </c>
      <c r="C116" s="17"/>
      <c r="D116" s="17"/>
      <c r="E116" s="16">
        <v>8.0</v>
      </c>
      <c r="F116" s="17"/>
      <c r="G116" s="17"/>
      <c r="H116" s="17"/>
      <c r="I116" s="18" t="s">
        <v>172</v>
      </c>
      <c r="K116" s="2"/>
      <c r="L116" s="2"/>
      <c r="M116" s="2"/>
      <c r="N116" s="2"/>
      <c r="P116" s="19" t="s">
        <v>214</v>
      </c>
      <c r="R116" s="2"/>
      <c r="S116" s="2"/>
      <c r="T116" s="2"/>
      <c r="U116" s="2"/>
      <c r="V116" s="2"/>
      <c r="W116" s="2"/>
    </row>
    <row r="117" ht="18.0" customHeight="1">
      <c r="A117" s="15" t="s">
        <v>216</v>
      </c>
      <c r="B117" s="13">
        <v>10.0</v>
      </c>
      <c r="C117" s="17"/>
      <c r="D117" s="17"/>
      <c r="E117" s="16">
        <v>10.0</v>
      </c>
      <c r="F117" s="17"/>
      <c r="G117" s="17"/>
      <c r="H117" s="17"/>
      <c r="I117" s="18" t="s">
        <v>172</v>
      </c>
      <c r="K117" s="2"/>
      <c r="L117" s="2"/>
      <c r="M117" s="2"/>
      <c r="N117" s="2"/>
      <c r="P117" s="19" t="s">
        <v>214</v>
      </c>
      <c r="R117" s="2"/>
      <c r="S117" s="2"/>
      <c r="T117" s="2"/>
      <c r="U117" s="2"/>
      <c r="V117" s="2"/>
      <c r="W117" s="2"/>
    </row>
    <row r="118" ht="18.0" customHeight="1">
      <c r="A118" s="15" t="s">
        <v>217</v>
      </c>
      <c r="B118" s="13">
        <v>10.0</v>
      </c>
      <c r="C118" s="17"/>
      <c r="D118" s="17"/>
      <c r="E118" s="16">
        <v>10.0</v>
      </c>
      <c r="F118" s="17"/>
      <c r="G118" s="17"/>
      <c r="H118" s="17"/>
      <c r="I118" s="18" t="s">
        <v>172</v>
      </c>
      <c r="K118" s="2"/>
      <c r="L118" s="2"/>
      <c r="M118" s="2"/>
      <c r="N118" s="2"/>
      <c r="P118" s="19" t="s">
        <v>214</v>
      </c>
      <c r="R118" s="2"/>
      <c r="S118" s="2"/>
      <c r="T118" s="2"/>
      <c r="U118" s="2"/>
      <c r="V118" s="2"/>
      <c r="W118" s="2"/>
    </row>
    <row r="119" ht="31.5" customHeight="1">
      <c r="A119" s="15" t="s">
        <v>218</v>
      </c>
      <c r="B119" s="13">
        <v>7.0</v>
      </c>
      <c r="C119" s="17"/>
      <c r="D119" s="17"/>
      <c r="E119" s="16">
        <v>7.0</v>
      </c>
      <c r="F119" s="17"/>
      <c r="G119" s="17"/>
      <c r="H119" s="17"/>
      <c r="I119" s="18" t="s">
        <v>172</v>
      </c>
      <c r="K119" s="2"/>
      <c r="L119" s="2"/>
      <c r="M119" s="2"/>
      <c r="N119" s="2"/>
      <c r="P119" s="19" t="s">
        <v>214</v>
      </c>
      <c r="R119" s="2"/>
      <c r="S119" s="2"/>
      <c r="T119" s="2"/>
      <c r="U119" s="2"/>
      <c r="V119" s="2"/>
      <c r="W119" s="2"/>
    </row>
    <row r="120" ht="31.5" customHeight="1">
      <c r="A120" s="15" t="s">
        <v>219</v>
      </c>
      <c r="B120" s="13">
        <v>8.0</v>
      </c>
      <c r="C120" s="17"/>
      <c r="D120" s="17"/>
      <c r="E120" s="16">
        <v>8.0</v>
      </c>
      <c r="F120" s="17"/>
      <c r="G120" s="17"/>
      <c r="H120" s="17"/>
      <c r="I120" s="18" t="s">
        <v>172</v>
      </c>
      <c r="K120" s="2"/>
      <c r="L120" s="2"/>
      <c r="M120" s="2"/>
      <c r="N120" s="2"/>
      <c r="P120" s="19" t="s">
        <v>214</v>
      </c>
      <c r="R120" s="2"/>
      <c r="S120" s="2"/>
      <c r="T120" s="2"/>
      <c r="U120" s="2"/>
      <c r="V120" s="2"/>
      <c r="W120" s="2"/>
    </row>
    <row r="121" ht="18.0" customHeight="1">
      <c r="A121" s="15" t="s">
        <v>220</v>
      </c>
      <c r="B121" s="13">
        <v>6.0</v>
      </c>
      <c r="C121" s="17"/>
      <c r="D121" s="17"/>
      <c r="E121" s="17"/>
      <c r="F121" s="17"/>
      <c r="G121" s="17"/>
      <c r="H121" s="16">
        <v>6.0</v>
      </c>
      <c r="I121" s="18" t="s">
        <v>172</v>
      </c>
      <c r="K121" s="2"/>
      <c r="L121" s="2"/>
      <c r="M121" s="2"/>
      <c r="N121" s="2"/>
      <c r="P121" s="19" t="s">
        <v>214</v>
      </c>
      <c r="R121" s="2"/>
      <c r="S121" s="2"/>
      <c r="T121" s="2"/>
      <c r="U121" s="2"/>
      <c r="V121" s="2"/>
      <c r="W121" s="2"/>
    </row>
    <row r="122" ht="18.0" customHeight="1">
      <c r="A122" s="15" t="s">
        <v>221</v>
      </c>
      <c r="B122" s="13">
        <v>5.0</v>
      </c>
      <c r="C122" s="17"/>
      <c r="D122" s="17"/>
      <c r="E122" s="17"/>
      <c r="F122" s="17"/>
      <c r="G122" s="16">
        <v>5.0</v>
      </c>
      <c r="H122" s="17"/>
      <c r="I122" s="18" t="s">
        <v>172</v>
      </c>
      <c r="K122" s="2"/>
      <c r="L122" s="2"/>
      <c r="M122" s="2"/>
      <c r="N122" s="2"/>
      <c r="P122" s="19" t="s">
        <v>214</v>
      </c>
      <c r="R122" s="2"/>
      <c r="S122" s="2"/>
      <c r="T122" s="2"/>
      <c r="U122" s="2"/>
      <c r="V122" s="2"/>
      <c r="W122" s="2"/>
    </row>
    <row r="123" ht="18.0" customHeight="1">
      <c r="A123" s="15" t="s">
        <v>222</v>
      </c>
      <c r="B123" s="13">
        <v>5.0</v>
      </c>
      <c r="C123" s="17"/>
      <c r="D123" s="17"/>
      <c r="E123" s="17"/>
      <c r="F123" s="16">
        <v>5.0</v>
      </c>
      <c r="G123" s="17"/>
      <c r="H123" s="17"/>
      <c r="I123" s="18" t="s">
        <v>172</v>
      </c>
      <c r="K123" s="2"/>
      <c r="L123" s="2"/>
      <c r="M123" s="2"/>
      <c r="N123" s="2"/>
      <c r="P123" s="19" t="s">
        <v>214</v>
      </c>
      <c r="R123" s="2"/>
      <c r="S123" s="2"/>
      <c r="T123" s="2"/>
      <c r="U123" s="2"/>
      <c r="V123" s="2"/>
      <c r="W123" s="2"/>
    </row>
    <row r="124" ht="18.0" customHeight="1">
      <c r="A124" s="70" t="s">
        <v>223</v>
      </c>
      <c r="B124" s="71">
        <f>SUMIF($I:$I,"E06-HU01",C:C)+SUMIF($I:$I,"E06-HU01",D:D)+SUMIF($I:$I,"E06-HU01",E:E)+SUMIF($I:$I,"E06-HU01",F:F)+SUMIF($I:$I,"E06-HU01",G:G)+SUMIF($I:$I,"E06-HU01",H:H)</f>
        <v>31</v>
      </c>
      <c r="C124" s="23"/>
      <c r="D124" s="23"/>
      <c r="E124" s="23"/>
      <c r="F124" s="23"/>
      <c r="G124" s="23"/>
      <c r="H124" s="23"/>
      <c r="I124" s="23"/>
      <c r="K124" s="2"/>
      <c r="L124" s="2"/>
      <c r="M124" s="2"/>
      <c r="N124" s="2"/>
      <c r="P124" s="2"/>
      <c r="R124" s="2"/>
      <c r="S124" s="2"/>
      <c r="T124" s="2"/>
      <c r="U124" s="2"/>
      <c r="V124" s="2"/>
      <c r="W124" s="2"/>
    </row>
    <row r="125" ht="18.0" customHeight="1">
      <c r="A125" s="15" t="s">
        <v>224</v>
      </c>
      <c r="B125" s="13">
        <v>5.0</v>
      </c>
      <c r="C125" s="17"/>
      <c r="D125" s="17"/>
      <c r="E125" s="17"/>
      <c r="F125" s="17"/>
      <c r="G125" s="17"/>
      <c r="H125" s="16">
        <v>5.0</v>
      </c>
      <c r="I125" s="18" t="s">
        <v>182</v>
      </c>
      <c r="K125" s="2"/>
      <c r="L125" s="2"/>
      <c r="M125" s="2"/>
      <c r="N125" s="2"/>
      <c r="P125" s="19" t="s">
        <v>214</v>
      </c>
      <c r="R125" s="2"/>
      <c r="S125" s="2"/>
      <c r="T125" s="2"/>
      <c r="U125" s="2"/>
      <c r="V125" s="2"/>
      <c r="W125" s="2"/>
    </row>
    <row r="126" ht="18.0" customHeight="1">
      <c r="A126" s="15" t="s">
        <v>225</v>
      </c>
      <c r="B126" s="13">
        <v>7.0</v>
      </c>
      <c r="C126" s="17"/>
      <c r="D126" s="17"/>
      <c r="E126" s="16">
        <v>7.0</v>
      </c>
      <c r="F126" s="17"/>
      <c r="G126" s="17"/>
      <c r="H126" s="17"/>
      <c r="I126" s="18" t="s">
        <v>182</v>
      </c>
      <c r="K126" s="2"/>
      <c r="L126" s="2"/>
      <c r="M126" s="2"/>
      <c r="N126" s="2"/>
      <c r="P126" s="19" t="s">
        <v>214</v>
      </c>
      <c r="R126" s="2"/>
      <c r="S126" s="2"/>
      <c r="T126" s="2"/>
      <c r="U126" s="2"/>
      <c r="V126" s="2"/>
      <c r="W126" s="2"/>
    </row>
    <row r="127" ht="18.0" customHeight="1">
      <c r="A127" s="15" t="s">
        <v>226</v>
      </c>
      <c r="B127" s="13">
        <v>7.0</v>
      </c>
      <c r="C127" s="17"/>
      <c r="D127" s="17"/>
      <c r="E127" s="16">
        <v>7.0</v>
      </c>
      <c r="F127" s="17"/>
      <c r="G127" s="17"/>
      <c r="H127" s="17"/>
      <c r="I127" s="18" t="s">
        <v>182</v>
      </c>
      <c r="K127" s="2"/>
      <c r="L127" s="2"/>
      <c r="M127" s="2"/>
      <c r="N127" s="2"/>
      <c r="P127" s="19" t="s">
        <v>214</v>
      </c>
      <c r="R127" s="2"/>
      <c r="S127" s="2"/>
      <c r="T127" s="2"/>
      <c r="U127" s="2"/>
      <c r="V127" s="2"/>
      <c r="W127" s="2"/>
    </row>
    <row r="128" ht="18.0" customHeight="1">
      <c r="A128" s="15" t="s">
        <v>227</v>
      </c>
      <c r="B128" s="13">
        <v>7.0</v>
      </c>
      <c r="C128" s="17"/>
      <c r="D128" s="17"/>
      <c r="E128" s="17"/>
      <c r="F128" s="16">
        <v>7.0</v>
      </c>
      <c r="G128" s="17"/>
      <c r="H128" s="17"/>
      <c r="I128" s="18" t="s">
        <v>182</v>
      </c>
      <c r="K128" s="2"/>
      <c r="L128" s="2"/>
      <c r="M128" s="2"/>
      <c r="N128" s="2"/>
      <c r="P128" s="19" t="s">
        <v>214</v>
      </c>
      <c r="R128" s="2"/>
      <c r="S128" s="2"/>
      <c r="T128" s="2"/>
      <c r="U128" s="2"/>
      <c r="V128" s="2"/>
      <c r="W128" s="2"/>
    </row>
    <row r="129" ht="18.0" customHeight="1">
      <c r="A129" s="15" t="s">
        <v>228</v>
      </c>
      <c r="B129" s="13">
        <v>5.0</v>
      </c>
      <c r="C129" s="17"/>
      <c r="D129" s="17"/>
      <c r="E129" s="17"/>
      <c r="F129" s="17"/>
      <c r="G129" s="16">
        <v>5.0</v>
      </c>
      <c r="H129" s="17"/>
      <c r="I129" s="18" t="s">
        <v>182</v>
      </c>
      <c r="K129" s="2"/>
      <c r="L129" s="2"/>
      <c r="M129" s="2"/>
      <c r="N129" s="2"/>
      <c r="P129" s="19" t="s">
        <v>214</v>
      </c>
      <c r="R129" s="2"/>
      <c r="S129" s="2"/>
      <c r="T129" s="2"/>
      <c r="U129" s="2"/>
      <c r="V129" s="2"/>
      <c r="W129" s="2"/>
    </row>
    <row r="130" ht="18.0" customHeight="1">
      <c r="A130" s="70" t="s">
        <v>229</v>
      </c>
      <c r="B130" s="71">
        <f>SUMIF($I:$I,"E06-HU02",C:C)+SUMIF($I:$I,"E06-HU02",D:D)+SUMIF($I:$I,"E06-HU02",E:E)+SUMIF($I:$I,"E06-HU02",F:F)+SUMIF($I:$I,"E06-HU02",G:G)+SUMIF($I:$I,"E06-HU02",H:H)</f>
        <v>15</v>
      </c>
      <c r="C130" s="23"/>
      <c r="D130" s="23"/>
      <c r="E130" s="23"/>
      <c r="F130" s="23"/>
      <c r="G130" s="23"/>
      <c r="H130" s="23"/>
      <c r="I130" s="23"/>
      <c r="K130" s="2"/>
      <c r="L130" s="2"/>
      <c r="M130" s="2"/>
      <c r="N130" s="2"/>
      <c r="P130" s="2"/>
      <c r="R130" s="2"/>
      <c r="S130" s="2"/>
      <c r="T130" s="2"/>
      <c r="U130" s="2"/>
      <c r="V130" s="2"/>
      <c r="W130" s="2"/>
    </row>
    <row r="131" ht="18.0" customHeight="1">
      <c r="A131" s="15" t="s">
        <v>230</v>
      </c>
      <c r="B131" s="13">
        <v>6.0</v>
      </c>
      <c r="C131" s="17"/>
      <c r="D131" s="17"/>
      <c r="E131" s="16">
        <v>6.0</v>
      </c>
      <c r="F131" s="17"/>
      <c r="G131" s="17"/>
      <c r="H131" s="17"/>
      <c r="I131" s="18" t="s">
        <v>189</v>
      </c>
      <c r="K131" s="2"/>
      <c r="L131" s="2"/>
      <c r="M131" s="2"/>
      <c r="N131" s="2"/>
      <c r="P131" s="19" t="s">
        <v>214</v>
      </c>
      <c r="R131" s="2"/>
      <c r="S131" s="2"/>
      <c r="T131" s="2"/>
      <c r="U131" s="2"/>
      <c r="V131" s="2"/>
      <c r="W131" s="2"/>
    </row>
    <row r="132" ht="18.0" customHeight="1">
      <c r="A132" s="15" t="s">
        <v>231</v>
      </c>
      <c r="B132" s="13">
        <v>5.0</v>
      </c>
      <c r="C132" s="17"/>
      <c r="D132" s="17"/>
      <c r="E132" s="16">
        <v>5.0</v>
      </c>
      <c r="F132" s="17"/>
      <c r="G132" s="17"/>
      <c r="H132" s="17"/>
      <c r="I132" s="18" t="s">
        <v>189</v>
      </c>
      <c r="K132" s="2"/>
      <c r="L132" s="2"/>
      <c r="M132" s="2"/>
      <c r="N132" s="2"/>
      <c r="P132" s="19" t="s">
        <v>214</v>
      </c>
      <c r="R132" s="2"/>
      <c r="S132" s="2"/>
      <c r="T132" s="2"/>
      <c r="U132" s="2"/>
      <c r="V132" s="2"/>
      <c r="W132" s="2"/>
    </row>
    <row r="133" ht="18.0" customHeight="1">
      <c r="A133" s="15" t="s">
        <v>232</v>
      </c>
      <c r="B133" s="13">
        <v>4.0</v>
      </c>
      <c r="C133" s="17"/>
      <c r="D133" s="17"/>
      <c r="E133" s="17"/>
      <c r="F133" s="17"/>
      <c r="G133" s="16">
        <v>4.0</v>
      </c>
      <c r="H133" s="17"/>
      <c r="I133" s="18" t="s">
        <v>189</v>
      </c>
      <c r="K133" s="2"/>
      <c r="L133" s="2"/>
      <c r="M133" s="2"/>
      <c r="N133" s="2"/>
      <c r="P133" s="19" t="s">
        <v>214</v>
      </c>
      <c r="R133" s="2"/>
      <c r="S133" s="2"/>
      <c r="T133" s="2"/>
      <c r="U133" s="2"/>
      <c r="V133" s="2"/>
      <c r="W133" s="2"/>
    </row>
    <row r="134" ht="19.5" customHeight="1">
      <c r="A134" s="21" t="s">
        <v>233</v>
      </c>
      <c r="B134" s="22">
        <f>SUMIF($P:$P,"S5",C:C)+SUMIF($P:$P,"S5",D:D)+SUMIF($P:$P,"S5",E:E)+SUMIF($P:$P,"S5",F:F)+SUMIF($P:$P,"S5",G:G)+SUMIF($P:$P,"S5",H:H)</f>
        <v>109</v>
      </c>
      <c r="C134" s="23"/>
      <c r="D134" s="23"/>
      <c r="E134" s="23"/>
      <c r="F134" s="23"/>
      <c r="G134" s="23"/>
      <c r="H134" s="23"/>
      <c r="I134" s="23"/>
      <c r="K134" s="2"/>
      <c r="L134" s="2"/>
      <c r="M134" s="2"/>
      <c r="N134" s="2"/>
      <c r="P134" s="2"/>
      <c r="R134" s="2"/>
      <c r="S134" s="2"/>
      <c r="T134" s="2"/>
      <c r="U134" s="2"/>
      <c r="V134" s="2"/>
      <c r="W134" s="2"/>
    </row>
    <row r="135" ht="21.75" customHeight="1">
      <c r="A135" s="72" t="s">
        <v>234</v>
      </c>
      <c r="B135" s="7"/>
      <c r="C135" s="7"/>
      <c r="D135" s="7"/>
      <c r="E135" s="7"/>
      <c r="F135" s="7"/>
      <c r="G135" s="7"/>
      <c r="H135" s="7"/>
      <c r="I135" s="8"/>
      <c r="K135" s="2"/>
      <c r="L135" s="2"/>
      <c r="M135" s="2"/>
      <c r="N135" s="2"/>
      <c r="P135" s="2"/>
      <c r="R135" s="2"/>
      <c r="S135" s="2"/>
      <c r="T135" s="2"/>
      <c r="U135" s="2"/>
      <c r="V135" s="2"/>
      <c r="W135" s="2"/>
    </row>
    <row r="136" ht="18.0" customHeight="1">
      <c r="A136" s="15" t="s">
        <v>235</v>
      </c>
      <c r="B136" s="13">
        <v>25.0</v>
      </c>
      <c r="C136" s="16">
        <v>1.0</v>
      </c>
      <c r="D136" s="16">
        <v>2.0</v>
      </c>
      <c r="E136" s="16">
        <v>4.0</v>
      </c>
      <c r="F136" s="16">
        <v>2.0</v>
      </c>
      <c r="G136" s="16">
        <v>16.0</v>
      </c>
      <c r="H136" s="17"/>
      <c r="I136" s="73" t="s">
        <v>236</v>
      </c>
      <c r="K136" s="2"/>
      <c r="L136" s="2"/>
      <c r="M136" s="2"/>
      <c r="N136" s="2"/>
      <c r="P136" s="19" t="s">
        <v>236</v>
      </c>
      <c r="R136" s="2"/>
      <c r="S136" s="2"/>
      <c r="T136" s="2"/>
      <c r="U136" s="2"/>
      <c r="V136" s="2"/>
      <c r="W136" s="2"/>
    </row>
    <row r="137" ht="18.0" customHeight="1">
      <c r="A137" s="15" t="s">
        <v>237</v>
      </c>
      <c r="B137" s="13">
        <v>29.0</v>
      </c>
      <c r="C137" s="16">
        <v>1.0</v>
      </c>
      <c r="D137" s="16">
        <v>4.0</v>
      </c>
      <c r="E137" s="16">
        <v>8.0</v>
      </c>
      <c r="F137" s="16">
        <v>4.0</v>
      </c>
      <c r="G137" s="16">
        <v>8.0</v>
      </c>
      <c r="H137" s="16">
        <v>4.0</v>
      </c>
      <c r="I137" s="73" t="s">
        <v>236</v>
      </c>
      <c r="K137" s="2"/>
      <c r="L137" s="2"/>
      <c r="M137" s="2"/>
      <c r="N137" s="2"/>
      <c r="P137" s="19" t="s">
        <v>236</v>
      </c>
      <c r="R137" s="2"/>
      <c r="S137" s="2"/>
      <c r="T137" s="2"/>
      <c r="U137" s="2"/>
      <c r="V137" s="2"/>
      <c r="W137" s="2"/>
    </row>
    <row r="138" ht="31.5" customHeight="1">
      <c r="A138" s="15" t="s">
        <v>238</v>
      </c>
      <c r="B138" s="13">
        <v>25.0</v>
      </c>
      <c r="C138" s="16">
        <v>2.0</v>
      </c>
      <c r="D138" s="16">
        <v>5.0</v>
      </c>
      <c r="E138" s="17"/>
      <c r="F138" s="16">
        <v>2.0</v>
      </c>
      <c r="G138" s="16">
        <v>16.0</v>
      </c>
      <c r="H138" s="17"/>
      <c r="I138" s="73" t="s">
        <v>236</v>
      </c>
      <c r="K138" s="2"/>
      <c r="L138" s="2"/>
      <c r="M138" s="2"/>
      <c r="N138" s="2"/>
      <c r="P138" s="19" t="s">
        <v>236</v>
      </c>
      <c r="R138" s="2"/>
      <c r="S138" s="2"/>
      <c r="T138" s="2"/>
      <c r="U138" s="2"/>
      <c r="V138" s="2"/>
      <c r="W138" s="2"/>
    </row>
    <row r="139" ht="19.5" customHeight="1">
      <c r="A139" s="74" t="s">
        <v>239</v>
      </c>
      <c r="B139" s="75">
        <f>SUMIF($P:$P,"F3",C:C)+SUMIF($P:$P,"F3",D:D)+SUMIF($P:$P,"F3",E:E)+SUMIF($P:$P,"F3",F:F)+SUMIF($P:$P,"F3",G:G)+SUMIF($P:$P,"F3",H:H)</f>
        <v>79</v>
      </c>
      <c r="C139" s="23"/>
      <c r="D139" s="23"/>
      <c r="E139" s="23"/>
      <c r="F139" s="23"/>
      <c r="G139" s="23"/>
      <c r="H139" s="23"/>
      <c r="I139" s="23"/>
      <c r="K139" s="2"/>
      <c r="L139" s="2"/>
      <c r="M139" s="2"/>
      <c r="N139" s="2"/>
      <c r="P139" s="2"/>
      <c r="R139" s="2"/>
      <c r="S139" s="2"/>
      <c r="T139" s="2"/>
      <c r="U139" s="2"/>
      <c r="V139" s="2"/>
      <c r="W139" s="2"/>
    </row>
    <row r="140" ht="15.75" customHeight="1">
      <c r="A140" s="76" t="s">
        <v>240</v>
      </c>
      <c r="B140" s="77">
        <f>SUM(C140:H140)</f>
        <v>584</v>
      </c>
      <c r="C140" s="77">
        <f t="shared" ref="C140:H140" si="2">SUM(C5:C139)</f>
        <v>22</v>
      </c>
      <c r="D140" s="77">
        <f t="shared" si="2"/>
        <v>21</v>
      </c>
      <c r="E140" s="77">
        <f t="shared" si="2"/>
        <v>264</v>
      </c>
      <c r="F140" s="77">
        <f t="shared" si="2"/>
        <v>45</v>
      </c>
      <c r="G140" s="77">
        <f t="shared" si="2"/>
        <v>120</v>
      </c>
      <c r="H140" s="77">
        <f t="shared" si="2"/>
        <v>112</v>
      </c>
      <c r="I140" s="76"/>
      <c r="K140" s="2"/>
      <c r="L140" s="2"/>
      <c r="M140" s="2"/>
      <c r="N140" s="2"/>
      <c r="P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P141" s="2"/>
      <c r="R141" s="2"/>
      <c r="S141" s="2"/>
      <c r="T141" s="2"/>
      <c r="U141" s="2"/>
      <c r="V141" s="2"/>
      <c r="W141" s="2"/>
    </row>
    <row r="142" ht="15.75" customHeight="1">
      <c r="A142" s="78" t="s">
        <v>241</v>
      </c>
      <c r="B142" s="79">
        <f>SUMIF(P:P,"S1",B:B)+SUMIF(P:P,"S2",B:B)+SUMIF(P:P,"S3",B:B)+SUMIF(P:P,"S4",B:B)+SUMIF(P:P,"S5",B:B)</f>
        <v>469</v>
      </c>
      <c r="C142" s="54" t="s">
        <v>242</v>
      </c>
      <c r="D142" s="2"/>
      <c r="E142" s="2"/>
      <c r="F142" s="2"/>
      <c r="G142" s="2"/>
      <c r="H142" s="2"/>
      <c r="I142" s="2"/>
      <c r="K142" s="2"/>
      <c r="L142" s="2"/>
      <c r="M142" s="2"/>
      <c r="N142" s="2"/>
      <c r="P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P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P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P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P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P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P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P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P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P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P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K153" s="2"/>
      <c r="L153" s="2"/>
      <c r="M153" s="2"/>
      <c r="N153" s="2"/>
      <c r="P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P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K155" s="2"/>
      <c r="L155" s="2"/>
      <c r="M155" s="2"/>
      <c r="N155" s="2"/>
      <c r="P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P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P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P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P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P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P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K162" s="2"/>
      <c r="L162" s="2"/>
      <c r="M162" s="2"/>
      <c r="N162" s="2"/>
      <c r="P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P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P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P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P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K167" s="2"/>
      <c r="L167" s="2"/>
      <c r="M167" s="2"/>
      <c r="N167" s="2"/>
      <c r="P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P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P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K170" s="2"/>
      <c r="L170" s="2"/>
      <c r="M170" s="2"/>
      <c r="N170" s="2"/>
      <c r="P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P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P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K173" s="2"/>
      <c r="L173" s="2"/>
      <c r="M173" s="2"/>
      <c r="N173" s="2"/>
      <c r="P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K174" s="2"/>
      <c r="L174" s="2"/>
      <c r="M174" s="2"/>
      <c r="N174" s="2"/>
      <c r="P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P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P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K177" s="2"/>
      <c r="L177" s="2"/>
      <c r="M177" s="2"/>
      <c r="N177" s="2"/>
      <c r="P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K178" s="2"/>
      <c r="L178" s="2"/>
      <c r="M178" s="2"/>
      <c r="N178" s="2"/>
      <c r="P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P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K180" s="2"/>
      <c r="L180" s="2"/>
      <c r="M180" s="2"/>
      <c r="N180" s="2"/>
      <c r="P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K181" s="2"/>
      <c r="L181" s="2"/>
      <c r="M181" s="2"/>
      <c r="N181" s="2"/>
      <c r="P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P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P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K184" s="2"/>
      <c r="L184" s="2"/>
      <c r="M184" s="2"/>
      <c r="N184" s="2"/>
      <c r="P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P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K186" s="2"/>
      <c r="L186" s="2"/>
      <c r="M186" s="2"/>
      <c r="N186" s="2"/>
      <c r="P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K187" s="2"/>
      <c r="L187" s="2"/>
      <c r="M187" s="2"/>
      <c r="N187" s="2"/>
      <c r="P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P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P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P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P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K192" s="2"/>
      <c r="L192" s="2"/>
      <c r="M192" s="2"/>
      <c r="N192" s="2"/>
      <c r="P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P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P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K195" s="2"/>
      <c r="L195" s="2"/>
      <c r="M195" s="2"/>
      <c r="N195" s="2"/>
      <c r="P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K196" s="2"/>
      <c r="L196" s="2"/>
      <c r="M196" s="2"/>
      <c r="N196" s="2"/>
      <c r="P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K197" s="2"/>
      <c r="L197" s="2"/>
      <c r="M197" s="2"/>
      <c r="N197" s="2"/>
      <c r="P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K198" s="2"/>
      <c r="L198" s="2"/>
      <c r="M198" s="2"/>
      <c r="N198" s="2"/>
      <c r="P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P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P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K201" s="2"/>
      <c r="L201" s="2"/>
      <c r="M201" s="2"/>
      <c r="N201" s="2"/>
      <c r="P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K202" s="2"/>
      <c r="L202" s="2"/>
      <c r="M202" s="2"/>
      <c r="N202" s="2"/>
      <c r="P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K203" s="2"/>
      <c r="L203" s="2"/>
      <c r="M203" s="2"/>
      <c r="N203" s="2"/>
      <c r="P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K204" s="2"/>
      <c r="L204" s="2"/>
      <c r="M204" s="2"/>
      <c r="N204" s="2"/>
      <c r="P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K205" s="2"/>
      <c r="L205" s="2"/>
      <c r="M205" s="2"/>
      <c r="N205" s="2"/>
      <c r="P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K206" s="2"/>
      <c r="L206" s="2"/>
      <c r="M206" s="2"/>
      <c r="N206" s="2"/>
      <c r="P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K207" s="2"/>
      <c r="L207" s="2"/>
      <c r="M207" s="2"/>
      <c r="N207" s="2"/>
      <c r="P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K208" s="2"/>
      <c r="L208" s="2"/>
      <c r="M208" s="2"/>
      <c r="N208" s="2"/>
      <c r="P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K209" s="2"/>
      <c r="L209" s="2"/>
      <c r="M209" s="2"/>
      <c r="N209" s="2"/>
      <c r="P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K210" s="2"/>
      <c r="L210" s="2"/>
      <c r="M210" s="2"/>
      <c r="N210" s="2"/>
      <c r="P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K211" s="2"/>
      <c r="L211" s="2"/>
      <c r="M211" s="2"/>
      <c r="N211" s="2"/>
      <c r="P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K212" s="2"/>
      <c r="L212" s="2"/>
      <c r="M212" s="2"/>
      <c r="N212" s="2"/>
      <c r="P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K213" s="2"/>
      <c r="L213" s="2"/>
      <c r="M213" s="2"/>
      <c r="N213" s="2"/>
      <c r="P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K214" s="2"/>
      <c r="L214" s="2"/>
      <c r="M214" s="2"/>
      <c r="N214" s="2"/>
      <c r="P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K215" s="2"/>
      <c r="L215" s="2"/>
      <c r="M215" s="2"/>
      <c r="N215" s="2"/>
      <c r="P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K216" s="2"/>
      <c r="L216" s="2"/>
      <c r="M216" s="2"/>
      <c r="N216" s="2"/>
      <c r="P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K217" s="2"/>
      <c r="L217" s="2"/>
      <c r="M217" s="2"/>
      <c r="N217" s="2"/>
      <c r="P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K218" s="2"/>
      <c r="L218" s="2"/>
      <c r="M218" s="2"/>
      <c r="N218" s="2"/>
      <c r="P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K219" s="2"/>
      <c r="L219" s="2"/>
      <c r="M219" s="2"/>
      <c r="N219" s="2"/>
      <c r="P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K220" s="2"/>
      <c r="L220" s="2"/>
      <c r="M220" s="2"/>
      <c r="N220" s="2"/>
      <c r="P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K221" s="2"/>
      <c r="L221" s="2"/>
      <c r="M221" s="2"/>
      <c r="N221" s="2"/>
      <c r="P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K222" s="2"/>
      <c r="L222" s="2"/>
      <c r="M222" s="2"/>
      <c r="N222" s="2"/>
      <c r="P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K223" s="2"/>
      <c r="L223" s="2"/>
      <c r="M223" s="2"/>
      <c r="N223" s="2"/>
      <c r="P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K224" s="2"/>
      <c r="L224" s="2"/>
      <c r="M224" s="2"/>
      <c r="N224" s="2"/>
      <c r="P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K225" s="2"/>
      <c r="L225" s="2"/>
      <c r="M225" s="2"/>
      <c r="N225" s="2"/>
      <c r="P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K226" s="2"/>
      <c r="L226" s="2"/>
      <c r="M226" s="2"/>
      <c r="N226" s="2"/>
      <c r="P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K227" s="2"/>
      <c r="L227" s="2"/>
      <c r="M227" s="2"/>
      <c r="N227" s="2"/>
      <c r="P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K228" s="2"/>
      <c r="L228" s="2"/>
      <c r="M228" s="2"/>
      <c r="N228" s="2"/>
      <c r="P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K229" s="2"/>
      <c r="L229" s="2"/>
      <c r="M229" s="2"/>
      <c r="N229" s="2"/>
      <c r="P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K230" s="2"/>
      <c r="L230" s="2"/>
      <c r="M230" s="2"/>
      <c r="N230" s="2"/>
      <c r="P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K231" s="2"/>
      <c r="L231" s="2"/>
      <c r="M231" s="2"/>
      <c r="N231" s="2"/>
      <c r="P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K232" s="2"/>
      <c r="L232" s="2"/>
      <c r="M232" s="2"/>
      <c r="N232" s="2"/>
      <c r="P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K233" s="2"/>
      <c r="L233" s="2"/>
      <c r="M233" s="2"/>
      <c r="N233" s="2"/>
      <c r="P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K234" s="2"/>
      <c r="L234" s="2"/>
      <c r="M234" s="2"/>
      <c r="N234" s="2"/>
      <c r="P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K235" s="2"/>
      <c r="L235" s="2"/>
      <c r="M235" s="2"/>
      <c r="N235" s="2"/>
      <c r="P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K236" s="2"/>
      <c r="L236" s="2"/>
      <c r="M236" s="2"/>
      <c r="N236" s="2"/>
      <c r="P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K237" s="2"/>
      <c r="L237" s="2"/>
      <c r="M237" s="2"/>
      <c r="N237" s="2"/>
      <c r="P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K238" s="2"/>
      <c r="L238" s="2"/>
      <c r="M238" s="2"/>
      <c r="N238" s="2"/>
      <c r="P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K239" s="2"/>
      <c r="L239" s="2"/>
      <c r="M239" s="2"/>
      <c r="N239" s="2"/>
      <c r="P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K240" s="2"/>
      <c r="L240" s="2"/>
      <c r="M240" s="2"/>
      <c r="N240" s="2"/>
      <c r="P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K241" s="2"/>
      <c r="L241" s="2"/>
      <c r="M241" s="2"/>
      <c r="N241" s="2"/>
      <c r="P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K242" s="2"/>
      <c r="L242" s="2"/>
      <c r="M242" s="2"/>
      <c r="N242" s="2"/>
      <c r="P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K243" s="2"/>
      <c r="L243" s="2"/>
      <c r="M243" s="2"/>
      <c r="N243" s="2"/>
      <c r="P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K244" s="2"/>
      <c r="L244" s="2"/>
      <c r="M244" s="2"/>
      <c r="N244" s="2"/>
      <c r="P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K245" s="2"/>
      <c r="L245" s="2"/>
      <c r="M245" s="2"/>
      <c r="N245" s="2"/>
      <c r="P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K246" s="2"/>
      <c r="L246" s="2"/>
      <c r="M246" s="2"/>
      <c r="N246" s="2"/>
      <c r="P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K247" s="2"/>
      <c r="L247" s="2"/>
      <c r="M247" s="2"/>
      <c r="N247" s="2"/>
      <c r="P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K248" s="2"/>
      <c r="L248" s="2"/>
      <c r="M248" s="2"/>
      <c r="N248" s="2"/>
      <c r="P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K249" s="2"/>
      <c r="L249" s="2"/>
      <c r="M249" s="2"/>
      <c r="N249" s="2"/>
      <c r="P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K250" s="2"/>
      <c r="L250" s="2"/>
      <c r="M250" s="2"/>
      <c r="N250" s="2"/>
      <c r="P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K251" s="2"/>
      <c r="L251" s="2"/>
      <c r="M251" s="2"/>
      <c r="N251" s="2"/>
      <c r="P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K252" s="2"/>
      <c r="L252" s="2"/>
      <c r="M252" s="2"/>
      <c r="N252" s="2"/>
      <c r="P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K253" s="2"/>
      <c r="L253" s="2"/>
      <c r="M253" s="2"/>
      <c r="N253" s="2"/>
      <c r="P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K254" s="2"/>
      <c r="L254" s="2"/>
      <c r="M254" s="2"/>
      <c r="N254" s="2"/>
      <c r="P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K255" s="2"/>
      <c r="L255" s="2"/>
      <c r="M255" s="2"/>
      <c r="N255" s="2"/>
      <c r="P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K256" s="2"/>
      <c r="L256" s="2"/>
      <c r="M256" s="2"/>
      <c r="N256" s="2"/>
      <c r="P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K257" s="2"/>
      <c r="L257" s="2"/>
      <c r="M257" s="2"/>
      <c r="N257" s="2"/>
      <c r="P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K258" s="2"/>
      <c r="L258" s="2"/>
      <c r="M258" s="2"/>
      <c r="N258" s="2"/>
      <c r="P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K259" s="2"/>
      <c r="L259" s="2"/>
      <c r="M259" s="2"/>
      <c r="N259" s="2"/>
      <c r="P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K260" s="2"/>
      <c r="L260" s="2"/>
      <c r="M260" s="2"/>
      <c r="N260" s="2"/>
      <c r="P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K261" s="2"/>
      <c r="L261" s="2"/>
      <c r="M261" s="2"/>
      <c r="N261" s="2"/>
      <c r="P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K262" s="2"/>
      <c r="L262" s="2"/>
      <c r="M262" s="2"/>
      <c r="N262" s="2"/>
      <c r="P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K263" s="2"/>
      <c r="L263" s="2"/>
      <c r="M263" s="2"/>
      <c r="N263" s="2"/>
      <c r="P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K264" s="2"/>
      <c r="L264" s="2"/>
      <c r="M264" s="2"/>
      <c r="N264" s="2"/>
      <c r="P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K265" s="2"/>
      <c r="L265" s="2"/>
      <c r="M265" s="2"/>
      <c r="N265" s="2"/>
      <c r="P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K266" s="2"/>
      <c r="L266" s="2"/>
      <c r="M266" s="2"/>
      <c r="N266" s="2"/>
      <c r="P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K267" s="2"/>
      <c r="L267" s="2"/>
      <c r="M267" s="2"/>
      <c r="N267" s="2"/>
      <c r="P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K268" s="2"/>
      <c r="L268" s="2"/>
      <c r="M268" s="2"/>
      <c r="N268" s="2"/>
      <c r="P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K269" s="2"/>
      <c r="L269" s="2"/>
      <c r="M269" s="2"/>
      <c r="N269" s="2"/>
      <c r="P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K270" s="2"/>
      <c r="L270" s="2"/>
      <c r="M270" s="2"/>
      <c r="N270" s="2"/>
      <c r="P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K271" s="2"/>
      <c r="L271" s="2"/>
      <c r="M271" s="2"/>
      <c r="N271" s="2"/>
      <c r="P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P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K273" s="2"/>
      <c r="L273" s="2"/>
      <c r="M273" s="2"/>
      <c r="N273" s="2"/>
      <c r="P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K274" s="2"/>
      <c r="L274" s="2"/>
      <c r="M274" s="2"/>
      <c r="N274" s="2"/>
      <c r="P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K275" s="2"/>
      <c r="L275" s="2"/>
      <c r="M275" s="2"/>
      <c r="N275" s="2"/>
      <c r="P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K276" s="2"/>
      <c r="L276" s="2"/>
      <c r="M276" s="2"/>
      <c r="N276" s="2"/>
      <c r="P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K277" s="2"/>
      <c r="L277" s="2"/>
      <c r="M277" s="2"/>
      <c r="N277" s="2"/>
      <c r="P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K278" s="2"/>
      <c r="L278" s="2"/>
      <c r="M278" s="2"/>
      <c r="N278" s="2"/>
      <c r="P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K279" s="2"/>
      <c r="L279" s="2"/>
      <c r="M279" s="2"/>
      <c r="N279" s="2"/>
      <c r="P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K280" s="2"/>
      <c r="L280" s="2"/>
      <c r="M280" s="2"/>
      <c r="N280" s="2"/>
      <c r="P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K281" s="2"/>
      <c r="L281" s="2"/>
      <c r="M281" s="2"/>
      <c r="N281" s="2"/>
      <c r="P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K282" s="2"/>
      <c r="L282" s="2"/>
      <c r="M282" s="2"/>
      <c r="N282" s="2"/>
      <c r="P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K283" s="2"/>
      <c r="L283" s="2"/>
      <c r="M283" s="2"/>
      <c r="N283" s="2"/>
      <c r="P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K284" s="2"/>
      <c r="L284" s="2"/>
      <c r="M284" s="2"/>
      <c r="N284" s="2"/>
      <c r="P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K285" s="2"/>
      <c r="L285" s="2"/>
      <c r="M285" s="2"/>
      <c r="N285" s="2"/>
      <c r="P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K286" s="2"/>
      <c r="L286" s="2"/>
      <c r="M286" s="2"/>
      <c r="N286" s="2"/>
      <c r="P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K287" s="2"/>
      <c r="L287" s="2"/>
      <c r="M287" s="2"/>
      <c r="N287" s="2"/>
      <c r="P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K288" s="2"/>
      <c r="L288" s="2"/>
      <c r="M288" s="2"/>
      <c r="N288" s="2"/>
      <c r="P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K289" s="2"/>
      <c r="L289" s="2"/>
      <c r="M289" s="2"/>
      <c r="N289" s="2"/>
      <c r="P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K290" s="2"/>
      <c r="L290" s="2"/>
      <c r="M290" s="2"/>
      <c r="N290" s="2"/>
      <c r="P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K291" s="2"/>
      <c r="L291" s="2"/>
      <c r="M291" s="2"/>
      <c r="N291" s="2"/>
      <c r="P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K292" s="2"/>
      <c r="L292" s="2"/>
      <c r="M292" s="2"/>
      <c r="N292" s="2"/>
      <c r="P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K293" s="2"/>
      <c r="L293" s="2"/>
      <c r="M293" s="2"/>
      <c r="N293" s="2"/>
      <c r="P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K294" s="2"/>
      <c r="L294" s="2"/>
      <c r="M294" s="2"/>
      <c r="N294" s="2"/>
      <c r="P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K295" s="2"/>
      <c r="L295" s="2"/>
      <c r="M295" s="2"/>
      <c r="N295" s="2"/>
      <c r="P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K296" s="2"/>
      <c r="L296" s="2"/>
      <c r="M296" s="2"/>
      <c r="N296" s="2"/>
      <c r="P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K297" s="2"/>
      <c r="L297" s="2"/>
      <c r="M297" s="2"/>
      <c r="N297" s="2"/>
      <c r="P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K298" s="2"/>
      <c r="L298" s="2"/>
      <c r="M298" s="2"/>
      <c r="N298" s="2"/>
      <c r="P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K299" s="2"/>
      <c r="L299" s="2"/>
      <c r="M299" s="2"/>
      <c r="N299" s="2"/>
      <c r="P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K300" s="2"/>
      <c r="L300" s="2"/>
      <c r="M300" s="2"/>
      <c r="N300" s="2"/>
      <c r="P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K301" s="2"/>
      <c r="L301" s="2"/>
      <c r="M301" s="2"/>
      <c r="N301" s="2"/>
      <c r="P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K302" s="2"/>
      <c r="L302" s="2"/>
      <c r="M302" s="2"/>
      <c r="N302" s="2"/>
      <c r="P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K303" s="2"/>
      <c r="L303" s="2"/>
      <c r="M303" s="2"/>
      <c r="N303" s="2"/>
      <c r="P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K304" s="2"/>
      <c r="L304" s="2"/>
      <c r="M304" s="2"/>
      <c r="N304" s="2"/>
      <c r="P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K305" s="2"/>
      <c r="L305" s="2"/>
      <c r="M305" s="2"/>
      <c r="N305" s="2"/>
      <c r="P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K306" s="2"/>
      <c r="L306" s="2"/>
      <c r="M306" s="2"/>
      <c r="N306" s="2"/>
      <c r="P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K307" s="2"/>
      <c r="L307" s="2"/>
      <c r="M307" s="2"/>
      <c r="N307" s="2"/>
      <c r="P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K308" s="2"/>
      <c r="L308" s="2"/>
      <c r="M308" s="2"/>
      <c r="N308" s="2"/>
      <c r="P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K309" s="2"/>
      <c r="L309" s="2"/>
      <c r="M309" s="2"/>
      <c r="N309" s="2"/>
      <c r="P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K310" s="2"/>
      <c r="L310" s="2"/>
      <c r="M310" s="2"/>
      <c r="N310" s="2"/>
      <c r="P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K311" s="2"/>
      <c r="L311" s="2"/>
      <c r="M311" s="2"/>
      <c r="N311" s="2"/>
      <c r="P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K312" s="2"/>
      <c r="L312" s="2"/>
      <c r="M312" s="2"/>
      <c r="N312" s="2"/>
      <c r="P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K313" s="2"/>
      <c r="L313" s="2"/>
      <c r="M313" s="2"/>
      <c r="N313" s="2"/>
      <c r="P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K314" s="2"/>
      <c r="L314" s="2"/>
      <c r="M314" s="2"/>
      <c r="N314" s="2"/>
      <c r="P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K315" s="2"/>
      <c r="L315" s="2"/>
      <c r="M315" s="2"/>
      <c r="N315" s="2"/>
      <c r="P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K316" s="2"/>
      <c r="L316" s="2"/>
      <c r="M316" s="2"/>
      <c r="N316" s="2"/>
      <c r="P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K317" s="2"/>
      <c r="L317" s="2"/>
      <c r="M317" s="2"/>
      <c r="N317" s="2"/>
      <c r="P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K318" s="2"/>
      <c r="L318" s="2"/>
      <c r="M318" s="2"/>
      <c r="N318" s="2"/>
      <c r="P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K319" s="2"/>
      <c r="L319" s="2"/>
      <c r="M319" s="2"/>
      <c r="N319" s="2"/>
      <c r="P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K320" s="2"/>
      <c r="L320" s="2"/>
      <c r="M320" s="2"/>
      <c r="N320" s="2"/>
      <c r="P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K321" s="2"/>
      <c r="L321" s="2"/>
      <c r="M321" s="2"/>
      <c r="N321" s="2"/>
      <c r="P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K322" s="2"/>
      <c r="L322" s="2"/>
      <c r="M322" s="2"/>
      <c r="N322" s="2"/>
      <c r="P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K323" s="2"/>
      <c r="L323" s="2"/>
      <c r="M323" s="2"/>
      <c r="N323" s="2"/>
      <c r="P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K324" s="2"/>
      <c r="L324" s="2"/>
      <c r="M324" s="2"/>
      <c r="N324" s="2"/>
      <c r="P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K325" s="2"/>
      <c r="L325" s="2"/>
      <c r="M325" s="2"/>
      <c r="N325" s="2"/>
      <c r="P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K326" s="2"/>
      <c r="L326" s="2"/>
      <c r="M326" s="2"/>
      <c r="N326" s="2"/>
      <c r="P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K327" s="2"/>
      <c r="L327" s="2"/>
      <c r="M327" s="2"/>
      <c r="N327" s="2"/>
      <c r="P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K328" s="2"/>
      <c r="L328" s="2"/>
      <c r="M328" s="2"/>
      <c r="N328" s="2"/>
      <c r="P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K329" s="2"/>
      <c r="L329" s="2"/>
      <c r="M329" s="2"/>
      <c r="N329" s="2"/>
      <c r="P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K330" s="2"/>
      <c r="L330" s="2"/>
      <c r="M330" s="2"/>
      <c r="N330" s="2"/>
      <c r="P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K331" s="2"/>
      <c r="L331" s="2"/>
      <c r="M331" s="2"/>
      <c r="N331" s="2"/>
      <c r="P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K332" s="2"/>
      <c r="L332" s="2"/>
      <c r="M332" s="2"/>
      <c r="N332" s="2"/>
      <c r="P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K333" s="2"/>
      <c r="L333" s="2"/>
      <c r="M333" s="2"/>
      <c r="N333" s="2"/>
      <c r="P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K334" s="2"/>
      <c r="L334" s="2"/>
      <c r="M334" s="2"/>
      <c r="N334" s="2"/>
      <c r="P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K335" s="2"/>
      <c r="L335" s="2"/>
      <c r="M335" s="2"/>
      <c r="N335" s="2"/>
      <c r="P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K336" s="2"/>
      <c r="L336" s="2"/>
      <c r="M336" s="2"/>
      <c r="N336" s="2"/>
      <c r="P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K337" s="2"/>
      <c r="L337" s="2"/>
      <c r="M337" s="2"/>
      <c r="N337" s="2"/>
      <c r="P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K338" s="2"/>
      <c r="L338" s="2"/>
      <c r="M338" s="2"/>
      <c r="N338" s="2"/>
      <c r="P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K339" s="2"/>
      <c r="L339" s="2"/>
      <c r="M339" s="2"/>
      <c r="N339" s="2"/>
      <c r="P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K340" s="2"/>
      <c r="L340" s="2"/>
      <c r="M340" s="2"/>
      <c r="N340" s="2"/>
      <c r="P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K341" s="2"/>
      <c r="L341" s="2"/>
      <c r="M341" s="2"/>
      <c r="N341" s="2"/>
      <c r="P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K342" s="2"/>
      <c r="L342" s="2"/>
      <c r="M342" s="2"/>
      <c r="N342" s="2"/>
      <c r="P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K343" s="2"/>
      <c r="L343" s="2"/>
      <c r="M343" s="2"/>
      <c r="N343" s="2"/>
      <c r="P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K344" s="2"/>
      <c r="L344" s="2"/>
      <c r="M344" s="2"/>
      <c r="N344" s="2"/>
      <c r="P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K345" s="2"/>
      <c r="L345" s="2"/>
      <c r="M345" s="2"/>
      <c r="N345" s="2"/>
      <c r="P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K346" s="2"/>
      <c r="L346" s="2"/>
      <c r="M346" s="2"/>
      <c r="N346" s="2"/>
      <c r="P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K347" s="2"/>
      <c r="L347" s="2"/>
      <c r="M347" s="2"/>
      <c r="N347" s="2"/>
      <c r="P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K348" s="2"/>
      <c r="L348" s="2"/>
      <c r="M348" s="2"/>
      <c r="N348" s="2"/>
      <c r="P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K349" s="2"/>
      <c r="L349" s="2"/>
      <c r="M349" s="2"/>
      <c r="N349" s="2"/>
      <c r="P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K350" s="2"/>
      <c r="L350" s="2"/>
      <c r="M350" s="2"/>
      <c r="N350" s="2"/>
      <c r="P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K351" s="2"/>
      <c r="L351" s="2"/>
      <c r="M351" s="2"/>
      <c r="N351" s="2"/>
      <c r="P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K352" s="2"/>
      <c r="L352" s="2"/>
      <c r="M352" s="2"/>
      <c r="N352" s="2"/>
      <c r="P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K353" s="2"/>
      <c r="L353" s="2"/>
      <c r="M353" s="2"/>
      <c r="N353" s="2"/>
      <c r="P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K354" s="2"/>
      <c r="L354" s="2"/>
      <c r="M354" s="2"/>
      <c r="N354" s="2"/>
      <c r="P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K355" s="2"/>
      <c r="L355" s="2"/>
      <c r="M355" s="2"/>
      <c r="N355" s="2"/>
      <c r="P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K356" s="2"/>
      <c r="L356" s="2"/>
      <c r="M356" s="2"/>
      <c r="N356" s="2"/>
      <c r="P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K357" s="2"/>
      <c r="L357" s="2"/>
      <c r="M357" s="2"/>
      <c r="N357" s="2"/>
      <c r="P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K358" s="2"/>
      <c r="L358" s="2"/>
      <c r="M358" s="2"/>
      <c r="N358" s="2"/>
      <c r="P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K359" s="2"/>
      <c r="L359" s="2"/>
      <c r="M359" s="2"/>
      <c r="N359" s="2"/>
      <c r="P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K360" s="2"/>
      <c r="L360" s="2"/>
      <c r="M360" s="2"/>
      <c r="N360" s="2"/>
      <c r="P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K361" s="2"/>
      <c r="L361" s="2"/>
      <c r="M361" s="2"/>
      <c r="N361" s="2"/>
      <c r="P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K362" s="2"/>
      <c r="L362" s="2"/>
      <c r="M362" s="2"/>
      <c r="N362" s="2"/>
      <c r="P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K363" s="2"/>
      <c r="L363" s="2"/>
      <c r="M363" s="2"/>
      <c r="N363" s="2"/>
      <c r="P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K364" s="2"/>
      <c r="L364" s="2"/>
      <c r="M364" s="2"/>
      <c r="N364" s="2"/>
      <c r="P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K365" s="2"/>
      <c r="L365" s="2"/>
      <c r="M365" s="2"/>
      <c r="N365" s="2"/>
      <c r="P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K366" s="2"/>
      <c r="L366" s="2"/>
      <c r="M366" s="2"/>
      <c r="N366" s="2"/>
      <c r="P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K367" s="2"/>
      <c r="L367" s="2"/>
      <c r="M367" s="2"/>
      <c r="N367" s="2"/>
      <c r="P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K368" s="2"/>
      <c r="L368" s="2"/>
      <c r="M368" s="2"/>
      <c r="N368" s="2"/>
      <c r="P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K369" s="2"/>
      <c r="L369" s="2"/>
      <c r="M369" s="2"/>
      <c r="N369" s="2"/>
      <c r="P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K370" s="2"/>
      <c r="L370" s="2"/>
      <c r="M370" s="2"/>
      <c r="N370" s="2"/>
      <c r="P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K371" s="2"/>
      <c r="L371" s="2"/>
      <c r="M371" s="2"/>
      <c r="N371" s="2"/>
      <c r="P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K372" s="2"/>
      <c r="L372" s="2"/>
      <c r="M372" s="2"/>
      <c r="N372" s="2"/>
      <c r="P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K373" s="2"/>
      <c r="L373" s="2"/>
      <c r="M373" s="2"/>
      <c r="N373" s="2"/>
      <c r="P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K374" s="2"/>
      <c r="L374" s="2"/>
      <c r="M374" s="2"/>
      <c r="N374" s="2"/>
      <c r="P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K375" s="2"/>
      <c r="L375" s="2"/>
      <c r="M375" s="2"/>
      <c r="N375" s="2"/>
      <c r="P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K376" s="2"/>
      <c r="L376" s="2"/>
      <c r="M376" s="2"/>
      <c r="N376" s="2"/>
      <c r="P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K377" s="2"/>
      <c r="L377" s="2"/>
      <c r="M377" s="2"/>
      <c r="N377" s="2"/>
      <c r="P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K378" s="2"/>
      <c r="L378" s="2"/>
      <c r="M378" s="2"/>
      <c r="N378" s="2"/>
      <c r="P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K379" s="2"/>
      <c r="L379" s="2"/>
      <c r="M379" s="2"/>
      <c r="N379" s="2"/>
      <c r="P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K380" s="2"/>
      <c r="L380" s="2"/>
      <c r="M380" s="2"/>
      <c r="N380" s="2"/>
      <c r="P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K381" s="2"/>
      <c r="L381" s="2"/>
      <c r="M381" s="2"/>
      <c r="N381" s="2"/>
      <c r="P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K382" s="2"/>
      <c r="L382" s="2"/>
      <c r="M382" s="2"/>
      <c r="N382" s="2"/>
      <c r="P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K383" s="2"/>
      <c r="L383" s="2"/>
      <c r="M383" s="2"/>
      <c r="N383" s="2"/>
      <c r="P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K384" s="2"/>
      <c r="L384" s="2"/>
      <c r="M384" s="2"/>
      <c r="N384" s="2"/>
      <c r="P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K385" s="2"/>
      <c r="L385" s="2"/>
      <c r="M385" s="2"/>
      <c r="N385" s="2"/>
      <c r="P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K386" s="2"/>
      <c r="L386" s="2"/>
      <c r="M386" s="2"/>
      <c r="N386" s="2"/>
      <c r="P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K387" s="2"/>
      <c r="L387" s="2"/>
      <c r="M387" s="2"/>
      <c r="N387" s="2"/>
      <c r="P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K388" s="2"/>
      <c r="L388" s="2"/>
      <c r="M388" s="2"/>
      <c r="N388" s="2"/>
      <c r="P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K389" s="2"/>
      <c r="L389" s="2"/>
      <c r="M389" s="2"/>
      <c r="N389" s="2"/>
      <c r="P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K390" s="2"/>
      <c r="L390" s="2"/>
      <c r="M390" s="2"/>
      <c r="N390" s="2"/>
      <c r="P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K391" s="2"/>
      <c r="L391" s="2"/>
      <c r="M391" s="2"/>
      <c r="N391" s="2"/>
      <c r="P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K392" s="2"/>
      <c r="L392" s="2"/>
      <c r="M392" s="2"/>
      <c r="N392" s="2"/>
      <c r="P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K393" s="2"/>
      <c r="L393" s="2"/>
      <c r="M393" s="2"/>
      <c r="N393" s="2"/>
      <c r="P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K394" s="2"/>
      <c r="L394" s="2"/>
      <c r="M394" s="2"/>
      <c r="N394" s="2"/>
      <c r="P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K395" s="2"/>
      <c r="L395" s="2"/>
      <c r="M395" s="2"/>
      <c r="N395" s="2"/>
      <c r="P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K396" s="2"/>
      <c r="L396" s="2"/>
      <c r="M396" s="2"/>
      <c r="N396" s="2"/>
      <c r="P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K397" s="2"/>
      <c r="L397" s="2"/>
      <c r="M397" s="2"/>
      <c r="N397" s="2"/>
      <c r="P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K398" s="2"/>
      <c r="L398" s="2"/>
      <c r="M398" s="2"/>
      <c r="N398" s="2"/>
      <c r="P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K399" s="2"/>
      <c r="L399" s="2"/>
      <c r="M399" s="2"/>
      <c r="N399" s="2"/>
      <c r="P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K400" s="2"/>
      <c r="L400" s="2"/>
      <c r="M400" s="2"/>
      <c r="N400" s="2"/>
      <c r="P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K401" s="2"/>
      <c r="L401" s="2"/>
      <c r="M401" s="2"/>
      <c r="N401" s="2"/>
      <c r="P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K402" s="2"/>
      <c r="L402" s="2"/>
      <c r="M402" s="2"/>
      <c r="N402" s="2"/>
      <c r="P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K403" s="2"/>
      <c r="L403" s="2"/>
      <c r="M403" s="2"/>
      <c r="N403" s="2"/>
      <c r="P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K404" s="2"/>
      <c r="L404" s="2"/>
      <c r="M404" s="2"/>
      <c r="N404" s="2"/>
      <c r="P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K405" s="2"/>
      <c r="L405" s="2"/>
      <c r="M405" s="2"/>
      <c r="N405" s="2"/>
      <c r="P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K406" s="2"/>
      <c r="L406" s="2"/>
      <c r="M406" s="2"/>
      <c r="N406" s="2"/>
      <c r="P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K407" s="2"/>
      <c r="L407" s="2"/>
      <c r="M407" s="2"/>
      <c r="N407" s="2"/>
      <c r="P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K408" s="2"/>
      <c r="L408" s="2"/>
      <c r="M408" s="2"/>
      <c r="N408" s="2"/>
      <c r="P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K409" s="2"/>
      <c r="L409" s="2"/>
      <c r="M409" s="2"/>
      <c r="N409" s="2"/>
      <c r="P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K410" s="2"/>
      <c r="L410" s="2"/>
      <c r="M410" s="2"/>
      <c r="N410" s="2"/>
      <c r="P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K411" s="2"/>
      <c r="L411" s="2"/>
      <c r="M411" s="2"/>
      <c r="N411" s="2"/>
      <c r="P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K412" s="2"/>
      <c r="L412" s="2"/>
      <c r="M412" s="2"/>
      <c r="N412" s="2"/>
      <c r="P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K413" s="2"/>
      <c r="L413" s="2"/>
      <c r="M413" s="2"/>
      <c r="N413" s="2"/>
      <c r="P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K414" s="2"/>
      <c r="L414" s="2"/>
      <c r="M414" s="2"/>
      <c r="N414" s="2"/>
      <c r="P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K415" s="2"/>
      <c r="L415" s="2"/>
      <c r="M415" s="2"/>
      <c r="N415" s="2"/>
      <c r="P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K416" s="2"/>
      <c r="L416" s="2"/>
      <c r="M416" s="2"/>
      <c r="N416" s="2"/>
      <c r="P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K417" s="2"/>
      <c r="L417" s="2"/>
      <c r="M417" s="2"/>
      <c r="N417" s="2"/>
      <c r="P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K418" s="2"/>
      <c r="L418" s="2"/>
      <c r="M418" s="2"/>
      <c r="N418" s="2"/>
      <c r="P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K419" s="2"/>
      <c r="L419" s="2"/>
      <c r="M419" s="2"/>
      <c r="N419" s="2"/>
      <c r="P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K420" s="2"/>
      <c r="L420" s="2"/>
      <c r="M420" s="2"/>
      <c r="N420" s="2"/>
      <c r="P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K421" s="2"/>
      <c r="L421" s="2"/>
      <c r="M421" s="2"/>
      <c r="N421" s="2"/>
      <c r="P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K422" s="2"/>
      <c r="L422" s="2"/>
      <c r="M422" s="2"/>
      <c r="N422" s="2"/>
      <c r="P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K423" s="2"/>
      <c r="L423" s="2"/>
      <c r="M423" s="2"/>
      <c r="N423" s="2"/>
      <c r="P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K424" s="2"/>
      <c r="L424" s="2"/>
      <c r="M424" s="2"/>
      <c r="N424" s="2"/>
      <c r="P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K425" s="2"/>
      <c r="L425" s="2"/>
      <c r="M425" s="2"/>
      <c r="N425" s="2"/>
      <c r="P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K426" s="2"/>
      <c r="L426" s="2"/>
      <c r="M426" s="2"/>
      <c r="N426" s="2"/>
      <c r="P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K427" s="2"/>
      <c r="L427" s="2"/>
      <c r="M427" s="2"/>
      <c r="N427" s="2"/>
      <c r="P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K428" s="2"/>
      <c r="L428" s="2"/>
      <c r="M428" s="2"/>
      <c r="N428" s="2"/>
      <c r="P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K429" s="2"/>
      <c r="L429" s="2"/>
      <c r="M429" s="2"/>
      <c r="N429" s="2"/>
      <c r="P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K430" s="2"/>
      <c r="L430" s="2"/>
      <c r="M430" s="2"/>
      <c r="N430" s="2"/>
      <c r="P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K431" s="2"/>
      <c r="L431" s="2"/>
      <c r="M431" s="2"/>
      <c r="N431" s="2"/>
      <c r="P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K432" s="2"/>
      <c r="L432" s="2"/>
      <c r="M432" s="2"/>
      <c r="N432" s="2"/>
      <c r="P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K433" s="2"/>
      <c r="L433" s="2"/>
      <c r="M433" s="2"/>
      <c r="N433" s="2"/>
      <c r="P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K434" s="2"/>
      <c r="L434" s="2"/>
      <c r="M434" s="2"/>
      <c r="N434" s="2"/>
      <c r="P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K435" s="2"/>
      <c r="L435" s="2"/>
      <c r="M435" s="2"/>
      <c r="N435" s="2"/>
      <c r="P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K436" s="2"/>
      <c r="L436" s="2"/>
      <c r="M436" s="2"/>
      <c r="N436" s="2"/>
      <c r="P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K437" s="2"/>
      <c r="L437" s="2"/>
      <c r="M437" s="2"/>
      <c r="N437" s="2"/>
      <c r="P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K438" s="2"/>
      <c r="L438" s="2"/>
      <c r="M438" s="2"/>
      <c r="N438" s="2"/>
      <c r="P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K439" s="2"/>
      <c r="L439" s="2"/>
      <c r="M439" s="2"/>
      <c r="N439" s="2"/>
      <c r="P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K440" s="2"/>
      <c r="L440" s="2"/>
      <c r="M440" s="2"/>
      <c r="N440" s="2"/>
      <c r="P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K441" s="2"/>
      <c r="L441" s="2"/>
      <c r="M441" s="2"/>
      <c r="N441" s="2"/>
      <c r="P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K442" s="2"/>
      <c r="L442" s="2"/>
      <c r="M442" s="2"/>
      <c r="N442" s="2"/>
      <c r="P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K443" s="2"/>
      <c r="L443" s="2"/>
      <c r="M443" s="2"/>
      <c r="N443" s="2"/>
      <c r="P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K444" s="2"/>
      <c r="L444" s="2"/>
      <c r="M444" s="2"/>
      <c r="N444" s="2"/>
      <c r="P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K445" s="2"/>
      <c r="L445" s="2"/>
      <c r="M445" s="2"/>
      <c r="N445" s="2"/>
      <c r="P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K446" s="2"/>
      <c r="L446" s="2"/>
      <c r="M446" s="2"/>
      <c r="N446" s="2"/>
      <c r="P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K447" s="2"/>
      <c r="L447" s="2"/>
      <c r="M447" s="2"/>
      <c r="N447" s="2"/>
      <c r="P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K448" s="2"/>
      <c r="L448" s="2"/>
      <c r="M448" s="2"/>
      <c r="N448" s="2"/>
      <c r="P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K449" s="2"/>
      <c r="L449" s="2"/>
      <c r="M449" s="2"/>
      <c r="N449" s="2"/>
      <c r="P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K450" s="2"/>
      <c r="L450" s="2"/>
      <c r="M450" s="2"/>
      <c r="N450" s="2"/>
      <c r="P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K451" s="2"/>
      <c r="L451" s="2"/>
      <c r="M451" s="2"/>
      <c r="N451" s="2"/>
      <c r="P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K452" s="2"/>
      <c r="L452" s="2"/>
      <c r="M452" s="2"/>
      <c r="N452" s="2"/>
      <c r="P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K453" s="2"/>
      <c r="L453" s="2"/>
      <c r="M453" s="2"/>
      <c r="N453" s="2"/>
      <c r="P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K454" s="2"/>
      <c r="L454" s="2"/>
      <c r="M454" s="2"/>
      <c r="N454" s="2"/>
      <c r="P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K455" s="2"/>
      <c r="L455" s="2"/>
      <c r="M455" s="2"/>
      <c r="N455" s="2"/>
      <c r="P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K456" s="2"/>
      <c r="L456" s="2"/>
      <c r="M456" s="2"/>
      <c r="N456" s="2"/>
      <c r="P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K457" s="2"/>
      <c r="L457" s="2"/>
      <c r="M457" s="2"/>
      <c r="N457" s="2"/>
      <c r="P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K458" s="2"/>
      <c r="L458" s="2"/>
      <c r="M458" s="2"/>
      <c r="N458" s="2"/>
      <c r="P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K459" s="2"/>
      <c r="L459" s="2"/>
      <c r="M459" s="2"/>
      <c r="N459" s="2"/>
      <c r="P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K460" s="2"/>
      <c r="L460" s="2"/>
      <c r="M460" s="2"/>
      <c r="N460" s="2"/>
      <c r="P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K461" s="2"/>
      <c r="L461" s="2"/>
      <c r="M461" s="2"/>
      <c r="N461" s="2"/>
      <c r="P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K462" s="2"/>
      <c r="L462" s="2"/>
      <c r="M462" s="2"/>
      <c r="N462" s="2"/>
      <c r="P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K463" s="2"/>
      <c r="L463" s="2"/>
      <c r="M463" s="2"/>
      <c r="N463" s="2"/>
      <c r="P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K464" s="2"/>
      <c r="L464" s="2"/>
      <c r="M464" s="2"/>
      <c r="N464" s="2"/>
      <c r="P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K465" s="2"/>
      <c r="L465" s="2"/>
      <c r="M465" s="2"/>
      <c r="N465" s="2"/>
      <c r="P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K466" s="2"/>
      <c r="L466" s="2"/>
      <c r="M466" s="2"/>
      <c r="N466" s="2"/>
      <c r="P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K467" s="2"/>
      <c r="L467" s="2"/>
      <c r="M467" s="2"/>
      <c r="N467" s="2"/>
      <c r="P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K468" s="2"/>
      <c r="L468" s="2"/>
      <c r="M468" s="2"/>
      <c r="N468" s="2"/>
      <c r="P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K469" s="2"/>
      <c r="L469" s="2"/>
      <c r="M469" s="2"/>
      <c r="N469" s="2"/>
      <c r="P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K470" s="2"/>
      <c r="L470" s="2"/>
      <c r="M470" s="2"/>
      <c r="N470" s="2"/>
      <c r="P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K471" s="2"/>
      <c r="L471" s="2"/>
      <c r="M471" s="2"/>
      <c r="N471" s="2"/>
      <c r="P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K472" s="2"/>
      <c r="L472" s="2"/>
      <c r="M472" s="2"/>
      <c r="N472" s="2"/>
      <c r="P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K473" s="2"/>
      <c r="L473" s="2"/>
      <c r="M473" s="2"/>
      <c r="N473" s="2"/>
      <c r="P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K474" s="2"/>
      <c r="L474" s="2"/>
      <c r="M474" s="2"/>
      <c r="N474" s="2"/>
      <c r="P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K475" s="2"/>
      <c r="L475" s="2"/>
      <c r="M475" s="2"/>
      <c r="N475" s="2"/>
      <c r="P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K476" s="2"/>
      <c r="L476" s="2"/>
      <c r="M476" s="2"/>
      <c r="N476" s="2"/>
      <c r="P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K477" s="2"/>
      <c r="L477" s="2"/>
      <c r="M477" s="2"/>
      <c r="N477" s="2"/>
      <c r="P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K478" s="2"/>
      <c r="L478" s="2"/>
      <c r="M478" s="2"/>
      <c r="N478" s="2"/>
      <c r="P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K479" s="2"/>
      <c r="L479" s="2"/>
      <c r="M479" s="2"/>
      <c r="N479" s="2"/>
      <c r="P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K480" s="2"/>
      <c r="L480" s="2"/>
      <c r="M480" s="2"/>
      <c r="N480" s="2"/>
      <c r="P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K481" s="2"/>
      <c r="L481" s="2"/>
      <c r="M481" s="2"/>
      <c r="N481" s="2"/>
      <c r="P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K482" s="2"/>
      <c r="L482" s="2"/>
      <c r="M482" s="2"/>
      <c r="N482" s="2"/>
      <c r="P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K483" s="2"/>
      <c r="L483" s="2"/>
      <c r="M483" s="2"/>
      <c r="N483" s="2"/>
      <c r="P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K484" s="2"/>
      <c r="L484" s="2"/>
      <c r="M484" s="2"/>
      <c r="N484" s="2"/>
      <c r="P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K485" s="2"/>
      <c r="L485" s="2"/>
      <c r="M485" s="2"/>
      <c r="N485" s="2"/>
      <c r="P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K486" s="2"/>
      <c r="L486" s="2"/>
      <c r="M486" s="2"/>
      <c r="N486" s="2"/>
      <c r="P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K487" s="2"/>
      <c r="L487" s="2"/>
      <c r="M487" s="2"/>
      <c r="N487" s="2"/>
      <c r="P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K488" s="2"/>
      <c r="L488" s="2"/>
      <c r="M488" s="2"/>
      <c r="N488" s="2"/>
      <c r="P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K489" s="2"/>
      <c r="L489" s="2"/>
      <c r="M489" s="2"/>
      <c r="N489" s="2"/>
      <c r="P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K490" s="2"/>
      <c r="L490" s="2"/>
      <c r="M490" s="2"/>
      <c r="N490" s="2"/>
      <c r="P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K491" s="2"/>
      <c r="L491" s="2"/>
      <c r="M491" s="2"/>
      <c r="N491" s="2"/>
      <c r="P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K492" s="2"/>
      <c r="L492" s="2"/>
      <c r="M492" s="2"/>
      <c r="N492" s="2"/>
      <c r="P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K493" s="2"/>
      <c r="L493" s="2"/>
      <c r="M493" s="2"/>
      <c r="N493" s="2"/>
      <c r="P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K494" s="2"/>
      <c r="L494" s="2"/>
      <c r="M494" s="2"/>
      <c r="N494" s="2"/>
      <c r="P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K495" s="2"/>
      <c r="L495" s="2"/>
      <c r="M495" s="2"/>
      <c r="N495" s="2"/>
      <c r="P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K496" s="2"/>
      <c r="L496" s="2"/>
      <c r="M496" s="2"/>
      <c r="N496" s="2"/>
      <c r="P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K497" s="2"/>
      <c r="L497" s="2"/>
      <c r="M497" s="2"/>
      <c r="N497" s="2"/>
      <c r="P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K498" s="2"/>
      <c r="L498" s="2"/>
      <c r="M498" s="2"/>
      <c r="N498" s="2"/>
      <c r="P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K499" s="2"/>
      <c r="L499" s="2"/>
      <c r="M499" s="2"/>
      <c r="N499" s="2"/>
      <c r="P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K500" s="2"/>
      <c r="L500" s="2"/>
      <c r="M500" s="2"/>
      <c r="N500" s="2"/>
      <c r="P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K501" s="2"/>
      <c r="L501" s="2"/>
      <c r="M501" s="2"/>
      <c r="N501" s="2"/>
      <c r="P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K502" s="2"/>
      <c r="L502" s="2"/>
      <c r="M502" s="2"/>
      <c r="N502" s="2"/>
      <c r="P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K503" s="2"/>
      <c r="L503" s="2"/>
      <c r="M503" s="2"/>
      <c r="N503" s="2"/>
      <c r="P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K504" s="2"/>
      <c r="L504" s="2"/>
      <c r="M504" s="2"/>
      <c r="N504" s="2"/>
      <c r="P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K505" s="2"/>
      <c r="L505" s="2"/>
      <c r="M505" s="2"/>
      <c r="N505" s="2"/>
      <c r="P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K506" s="2"/>
      <c r="L506" s="2"/>
      <c r="M506" s="2"/>
      <c r="N506" s="2"/>
      <c r="P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K507" s="2"/>
      <c r="L507" s="2"/>
      <c r="M507" s="2"/>
      <c r="N507" s="2"/>
      <c r="P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K508" s="2"/>
      <c r="L508" s="2"/>
      <c r="M508" s="2"/>
      <c r="N508" s="2"/>
      <c r="P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K509" s="2"/>
      <c r="L509" s="2"/>
      <c r="M509" s="2"/>
      <c r="N509" s="2"/>
      <c r="P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K510" s="2"/>
      <c r="L510" s="2"/>
      <c r="M510" s="2"/>
      <c r="N510" s="2"/>
      <c r="P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K511" s="2"/>
      <c r="L511" s="2"/>
      <c r="M511" s="2"/>
      <c r="N511" s="2"/>
      <c r="P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K512" s="2"/>
      <c r="L512" s="2"/>
      <c r="M512" s="2"/>
      <c r="N512" s="2"/>
      <c r="P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K513" s="2"/>
      <c r="L513" s="2"/>
      <c r="M513" s="2"/>
      <c r="N513" s="2"/>
      <c r="P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K514" s="2"/>
      <c r="L514" s="2"/>
      <c r="M514" s="2"/>
      <c r="N514" s="2"/>
      <c r="P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K515" s="2"/>
      <c r="L515" s="2"/>
      <c r="M515" s="2"/>
      <c r="N515" s="2"/>
      <c r="P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K516" s="2"/>
      <c r="L516" s="2"/>
      <c r="M516" s="2"/>
      <c r="N516" s="2"/>
      <c r="P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K517" s="2"/>
      <c r="L517" s="2"/>
      <c r="M517" s="2"/>
      <c r="N517" s="2"/>
      <c r="P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K518" s="2"/>
      <c r="L518" s="2"/>
      <c r="M518" s="2"/>
      <c r="N518" s="2"/>
      <c r="P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K519" s="2"/>
      <c r="L519" s="2"/>
      <c r="M519" s="2"/>
      <c r="N519" s="2"/>
      <c r="P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K520" s="2"/>
      <c r="L520" s="2"/>
      <c r="M520" s="2"/>
      <c r="N520" s="2"/>
      <c r="P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K521" s="2"/>
      <c r="L521" s="2"/>
      <c r="M521" s="2"/>
      <c r="N521" s="2"/>
      <c r="P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K522" s="2"/>
      <c r="L522" s="2"/>
      <c r="M522" s="2"/>
      <c r="N522" s="2"/>
      <c r="P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K523" s="2"/>
      <c r="L523" s="2"/>
      <c r="M523" s="2"/>
      <c r="N523" s="2"/>
      <c r="P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K524" s="2"/>
      <c r="L524" s="2"/>
      <c r="M524" s="2"/>
      <c r="N524" s="2"/>
      <c r="P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K525" s="2"/>
      <c r="L525" s="2"/>
      <c r="M525" s="2"/>
      <c r="N525" s="2"/>
      <c r="P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K526" s="2"/>
      <c r="L526" s="2"/>
      <c r="M526" s="2"/>
      <c r="N526" s="2"/>
      <c r="P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K527" s="2"/>
      <c r="L527" s="2"/>
      <c r="M527" s="2"/>
      <c r="N527" s="2"/>
      <c r="P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K528" s="2"/>
      <c r="L528" s="2"/>
      <c r="M528" s="2"/>
      <c r="N528" s="2"/>
      <c r="P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K529" s="2"/>
      <c r="L529" s="2"/>
      <c r="M529" s="2"/>
      <c r="N529" s="2"/>
      <c r="P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K530" s="2"/>
      <c r="L530" s="2"/>
      <c r="M530" s="2"/>
      <c r="N530" s="2"/>
      <c r="P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K531" s="2"/>
      <c r="L531" s="2"/>
      <c r="M531" s="2"/>
      <c r="N531" s="2"/>
      <c r="P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K532" s="2"/>
      <c r="L532" s="2"/>
      <c r="M532" s="2"/>
      <c r="N532" s="2"/>
      <c r="P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K533" s="2"/>
      <c r="L533" s="2"/>
      <c r="M533" s="2"/>
      <c r="N533" s="2"/>
      <c r="P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K534" s="2"/>
      <c r="L534" s="2"/>
      <c r="M534" s="2"/>
      <c r="N534" s="2"/>
      <c r="P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K535" s="2"/>
      <c r="L535" s="2"/>
      <c r="M535" s="2"/>
      <c r="N535" s="2"/>
      <c r="P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K536" s="2"/>
      <c r="L536" s="2"/>
      <c r="M536" s="2"/>
      <c r="N536" s="2"/>
      <c r="P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K537" s="2"/>
      <c r="L537" s="2"/>
      <c r="M537" s="2"/>
      <c r="N537" s="2"/>
      <c r="P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K538" s="2"/>
      <c r="L538" s="2"/>
      <c r="M538" s="2"/>
      <c r="N538" s="2"/>
      <c r="P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K539" s="2"/>
      <c r="L539" s="2"/>
      <c r="M539" s="2"/>
      <c r="N539" s="2"/>
      <c r="P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K540" s="2"/>
      <c r="L540" s="2"/>
      <c r="M540" s="2"/>
      <c r="N540" s="2"/>
      <c r="P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K541" s="2"/>
      <c r="L541" s="2"/>
      <c r="M541" s="2"/>
      <c r="N541" s="2"/>
      <c r="P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K542" s="2"/>
      <c r="L542" s="2"/>
      <c r="M542" s="2"/>
      <c r="N542" s="2"/>
      <c r="P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K543" s="2"/>
      <c r="L543" s="2"/>
      <c r="M543" s="2"/>
      <c r="N543" s="2"/>
      <c r="P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K544" s="2"/>
      <c r="L544" s="2"/>
      <c r="M544" s="2"/>
      <c r="N544" s="2"/>
      <c r="P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K545" s="2"/>
      <c r="L545" s="2"/>
      <c r="M545" s="2"/>
      <c r="N545" s="2"/>
      <c r="P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K546" s="2"/>
      <c r="L546" s="2"/>
      <c r="M546" s="2"/>
      <c r="N546" s="2"/>
      <c r="P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K547" s="2"/>
      <c r="L547" s="2"/>
      <c r="M547" s="2"/>
      <c r="N547" s="2"/>
      <c r="P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K548" s="2"/>
      <c r="L548" s="2"/>
      <c r="M548" s="2"/>
      <c r="N548" s="2"/>
      <c r="P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K549" s="2"/>
      <c r="L549" s="2"/>
      <c r="M549" s="2"/>
      <c r="N549" s="2"/>
      <c r="P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K550" s="2"/>
      <c r="L550" s="2"/>
      <c r="M550" s="2"/>
      <c r="N550" s="2"/>
      <c r="P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K551" s="2"/>
      <c r="L551" s="2"/>
      <c r="M551" s="2"/>
      <c r="N551" s="2"/>
      <c r="P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K552" s="2"/>
      <c r="L552" s="2"/>
      <c r="M552" s="2"/>
      <c r="N552" s="2"/>
      <c r="P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K553" s="2"/>
      <c r="L553" s="2"/>
      <c r="M553" s="2"/>
      <c r="N553" s="2"/>
      <c r="P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K554" s="2"/>
      <c r="L554" s="2"/>
      <c r="M554" s="2"/>
      <c r="N554" s="2"/>
      <c r="P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K555" s="2"/>
      <c r="L555" s="2"/>
      <c r="M555" s="2"/>
      <c r="N555" s="2"/>
      <c r="P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K556" s="2"/>
      <c r="L556" s="2"/>
      <c r="M556" s="2"/>
      <c r="N556" s="2"/>
      <c r="P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K557" s="2"/>
      <c r="L557" s="2"/>
      <c r="M557" s="2"/>
      <c r="N557" s="2"/>
      <c r="P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K558" s="2"/>
      <c r="L558" s="2"/>
      <c r="M558" s="2"/>
      <c r="N558" s="2"/>
      <c r="P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K559" s="2"/>
      <c r="L559" s="2"/>
      <c r="M559" s="2"/>
      <c r="N559" s="2"/>
      <c r="P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K560" s="2"/>
      <c r="L560" s="2"/>
      <c r="M560" s="2"/>
      <c r="N560" s="2"/>
      <c r="P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K561" s="2"/>
      <c r="L561" s="2"/>
      <c r="M561" s="2"/>
      <c r="N561" s="2"/>
      <c r="P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K562" s="2"/>
      <c r="L562" s="2"/>
      <c r="M562" s="2"/>
      <c r="N562" s="2"/>
      <c r="P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K563" s="2"/>
      <c r="L563" s="2"/>
      <c r="M563" s="2"/>
      <c r="N563" s="2"/>
      <c r="P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K564" s="2"/>
      <c r="L564" s="2"/>
      <c r="M564" s="2"/>
      <c r="N564" s="2"/>
      <c r="P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K565" s="2"/>
      <c r="L565" s="2"/>
      <c r="M565" s="2"/>
      <c r="N565" s="2"/>
      <c r="P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K566" s="2"/>
      <c r="L566" s="2"/>
      <c r="M566" s="2"/>
      <c r="N566" s="2"/>
      <c r="P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K567" s="2"/>
      <c r="L567" s="2"/>
      <c r="M567" s="2"/>
      <c r="N567" s="2"/>
      <c r="P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K568" s="2"/>
      <c r="L568" s="2"/>
      <c r="M568" s="2"/>
      <c r="N568" s="2"/>
      <c r="P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K569" s="2"/>
      <c r="L569" s="2"/>
      <c r="M569" s="2"/>
      <c r="N569" s="2"/>
      <c r="P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K570" s="2"/>
      <c r="L570" s="2"/>
      <c r="M570" s="2"/>
      <c r="N570" s="2"/>
      <c r="P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K571" s="2"/>
      <c r="L571" s="2"/>
      <c r="M571" s="2"/>
      <c r="N571" s="2"/>
      <c r="P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K572" s="2"/>
      <c r="L572" s="2"/>
      <c r="M572" s="2"/>
      <c r="N572" s="2"/>
      <c r="P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K573" s="2"/>
      <c r="L573" s="2"/>
      <c r="M573" s="2"/>
      <c r="N573" s="2"/>
      <c r="P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K574" s="2"/>
      <c r="L574" s="2"/>
      <c r="M574" s="2"/>
      <c r="N574" s="2"/>
      <c r="P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K575" s="2"/>
      <c r="L575" s="2"/>
      <c r="M575" s="2"/>
      <c r="N575" s="2"/>
      <c r="P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K576" s="2"/>
      <c r="L576" s="2"/>
      <c r="M576" s="2"/>
      <c r="N576" s="2"/>
      <c r="P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K577" s="2"/>
      <c r="L577" s="2"/>
      <c r="M577" s="2"/>
      <c r="N577" s="2"/>
      <c r="P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K578" s="2"/>
      <c r="L578" s="2"/>
      <c r="M578" s="2"/>
      <c r="N578" s="2"/>
      <c r="P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K579" s="2"/>
      <c r="L579" s="2"/>
      <c r="M579" s="2"/>
      <c r="N579" s="2"/>
      <c r="P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K580" s="2"/>
      <c r="L580" s="2"/>
      <c r="M580" s="2"/>
      <c r="N580" s="2"/>
      <c r="P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K581" s="2"/>
      <c r="L581" s="2"/>
      <c r="M581" s="2"/>
      <c r="N581" s="2"/>
      <c r="P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K582" s="2"/>
      <c r="L582" s="2"/>
      <c r="M582" s="2"/>
      <c r="N582" s="2"/>
      <c r="P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K583" s="2"/>
      <c r="L583" s="2"/>
      <c r="M583" s="2"/>
      <c r="N583" s="2"/>
      <c r="P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K584" s="2"/>
      <c r="L584" s="2"/>
      <c r="M584" s="2"/>
      <c r="N584" s="2"/>
      <c r="P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K585" s="2"/>
      <c r="L585" s="2"/>
      <c r="M585" s="2"/>
      <c r="N585" s="2"/>
      <c r="P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K586" s="2"/>
      <c r="L586" s="2"/>
      <c r="M586" s="2"/>
      <c r="N586" s="2"/>
      <c r="P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K587" s="2"/>
      <c r="L587" s="2"/>
      <c r="M587" s="2"/>
      <c r="N587" s="2"/>
      <c r="P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K588" s="2"/>
      <c r="L588" s="2"/>
      <c r="M588" s="2"/>
      <c r="N588" s="2"/>
      <c r="P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K589" s="2"/>
      <c r="L589" s="2"/>
      <c r="M589" s="2"/>
      <c r="N589" s="2"/>
      <c r="P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K590" s="2"/>
      <c r="L590" s="2"/>
      <c r="M590" s="2"/>
      <c r="N590" s="2"/>
      <c r="P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K591" s="2"/>
      <c r="L591" s="2"/>
      <c r="M591" s="2"/>
      <c r="N591" s="2"/>
      <c r="P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K592" s="2"/>
      <c r="L592" s="2"/>
      <c r="M592" s="2"/>
      <c r="N592" s="2"/>
      <c r="P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K593" s="2"/>
      <c r="L593" s="2"/>
      <c r="M593" s="2"/>
      <c r="N593" s="2"/>
      <c r="P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K594" s="2"/>
      <c r="L594" s="2"/>
      <c r="M594" s="2"/>
      <c r="N594" s="2"/>
      <c r="P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K595" s="2"/>
      <c r="L595" s="2"/>
      <c r="M595" s="2"/>
      <c r="N595" s="2"/>
      <c r="P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K596" s="2"/>
      <c r="L596" s="2"/>
      <c r="M596" s="2"/>
      <c r="N596" s="2"/>
      <c r="P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K597" s="2"/>
      <c r="L597" s="2"/>
      <c r="M597" s="2"/>
      <c r="N597" s="2"/>
      <c r="P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K598" s="2"/>
      <c r="L598" s="2"/>
      <c r="M598" s="2"/>
      <c r="N598" s="2"/>
      <c r="P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K599" s="2"/>
      <c r="L599" s="2"/>
      <c r="M599" s="2"/>
      <c r="N599" s="2"/>
      <c r="P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K600" s="2"/>
      <c r="L600" s="2"/>
      <c r="M600" s="2"/>
      <c r="N600" s="2"/>
      <c r="P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K601" s="2"/>
      <c r="L601" s="2"/>
      <c r="M601" s="2"/>
      <c r="N601" s="2"/>
      <c r="P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K602" s="2"/>
      <c r="L602" s="2"/>
      <c r="M602" s="2"/>
      <c r="N602" s="2"/>
      <c r="P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K603" s="2"/>
      <c r="L603" s="2"/>
      <c r="M603" s="2"/>
      <c r="N603" s="2"/>
      <c r="P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K604" s="2"/>
      <c r="L604" s="2"/>
      <c r="M604" s="2"/>
      <c r="N604" s="2"/>
      <c r="P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K605" s="2"/>
      <c r="L605" s="2"/>
      <c r="M605" s="2"/>
      <c r="N605" s="2"/>
      <c r="P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K606" s="2"/>
      <c r="L606" s="2"/>
      <c r="M606" s="2"/>
      <c r="N606" s="2"/>
      <c r="P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K607" s="2"/>
      <c r="L607" s="2"/>
      <c r="M607" s="2"/>
      <c r="N607" s="2"/>
      <c r="P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K608" s="2"/>
      <c r="L608" s="2"/>
      <c r="M608" s="2"/>
      <c r="N608" s="2"/>
      <c r="P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K609" s="2"/>
      <c r="L609" s="2"/>
      <c r="M609" s="2"/>
      <c r="N609" s="2"/>
      <c r="P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K610" s="2"/>
      <c r="L610" s="2"/>
      <c r="M610" s="2"/>
      <c r="N610" s="2"/>
      <c r="P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K611" s="2"/>
      <c r="L611" s="2"/>
      <c r="M611" s="2"/>
      <c r="N611" s="2"/>
      <c r="P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K612" s="2"/>
      <c r="L612" s="2"/>
      <c r="M612" s="2"/>
      <c r="N612" s="2"/>
      <c r="P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K613" s="2"/>
      <c r="L613" s="2"/>
      <c r="M613" s="2"/>
      <c r="N613" s="2"/>
      <c r="P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K614" s="2"/>
      <c r="L614" s="2"/>
      <c r="M614" s="2"/>
      <c r="N614" s="2"/>
      <c r="P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K615" s="2"/>
      <c r="L615" s="2"/>
      <c r="M615" s="2"/>
      <c r="N615" s="2"/>
      <c r="P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K616" s="2"/>
      <c r="L616" s="2"/>
      <c r="M616" s="2"/>
      <c r="N616" s="2"/>
      <c r="P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K617" s="2"/>
      <c r="L617" s="2"/>
      <c r="M617" s="2"/>
      <c r="N617" s="2"/>
      <c r="P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K618" s="2"/>
      <c r="L618" s="2"/>
      <c r="M618" s="2"/>
      <c r="N618" s="2"/>
      <c r="P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K619" s="2"/>
      <c r="L619" s="2"/>
      <c r="M619" s="2"/>
      <c r="N619" s="2"/>
      <c r="P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K620" s="2"/>
      <c r="L620" s="2"/>
      <c r="M620" s="2"/>
      <c r="N620" s="2"/>
      <c r="P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K621" s="2"/>
      <c r="L621" s="2"/>
      <c r="M621" s="2"/>
      <c r="N621" s="2"/>
      <c r="P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K622" s="2"/>
      <c r="L622" s="2"/>
      <c r="M622" s="2"/>
      <c r="N622" s="2"/>
      <c r="P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K623" s="2"/>
      <c r="L623" s="2"/>
      <c r="M623" s="2"/>
      <c r="N623" s="2"/>
      <c r="P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K624" s="2"/>
      <c r="L624" s="2"/>
      <c r="M624" s="2"/>
      <c r="N624" s="2"/>
      <c r="P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K625" s="2"/>
      <c r="L625" s="2"/>
      <c r="M625" s="2"/>
      <c r="N625" s="2"/>
      <c r="P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K626" s="2"/>
      <c r="L626" s="2"/>
      <c r="M626" s="2"/>
      <c r="N626" s="2"/>
      <c r="P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K627" s="2"/>
      <c r="L627" s="2"/>
      <c r="M627" s="2"/>
      <c r="N627" s="2"/>
      <c r="P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K628" s="2"/>
      <c r="L628" s="2"/>
      <c r="M628" s="2"/>
      <c r="N628" s="2"/>
      <c r="P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K629" s="2"/>
      <c r="L629" s="2"/>
      <c r="M629" s="2"/>
      <c r="N629" s="2"/>
      <c r="P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K630" s="2"/>
      <c r="L630" s="2"/>
      <c r="M630" s="2"/>
      <c r="N630" s="2"/>
      <c r="P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K631" s="2"/>
      <c r="L631" s="2"/>
      <c r="M631" s="2"/>
      <c r="N631" s="2"/>
      <c r="P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K632" s="2"/>
      <c r="L632" s="2"/>
      <c r="M632" s="2"/>
      <c r="N632" s="2"/>
      <c r="P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K633" s="2"/>
      <c r="L633" s="2"/>
      <c r="M633" s="2"/>
      <c r="N633" s="2"/>
      <c r="P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K634" s="2"/>
      <c r="L634" s="2"/>
      <c r="M634" s="2"/>
      <c r="N634" s="2"/>
      <c r="P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K635" s="2"/>
      <c r="L635" s="2"/>
      <c r="M635" s="2"/>
      <c r="N635" s="2"/>
      <c r="P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K636" s="2"/>
      <c r="L636" s="2"/>
      <c r="M636" s="2"/>
      <c r="N636" s="2"/>
      <c r="P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K637" s="2"/>
      <c r="L637" s="2"/>
      <c r="M637" s="2"/>
      <c r="N637" s="2"/>
      <c r="P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K638" s="2"/>
      <c r="L638" s="2"/>
      <c r="M638" s="2"/>
      <c r="N638" s="2"/>
      <c r="P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K639" s="2"/>
      <c r="L639" s="2"/>
      <c r="M639" s="2"/>
      <c r="N639" s="2"/>
      <c r="P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K640" s="2"/>
      <c r="L640" s="2"/>
      <c r="M640" s="2"/>
      <c r="N640" s="2"/>
      <c r="P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K641" s="2"/>
      <c r="L641" s="2"/>
      <c r="M641" s="2"/>
      <c r="N641" s="2"/>
      <c r="P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K642" s="2"/>
      <c r="L642" s="2"/>
      <c r="M642" s="2"/>
      <c r="N642" s="2"/>
      <c r="P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K643" s="2"/>
      <c r="L643" s="2"/>
      <c r="M643" s="2"/>
      <c r="N643" s="2"/>
      <c r="P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K644" s="2"/>
      <c r="L644" s="2"/>
      <c r="M644" s="2"/>
      <c r="N644" s="2"/>
      <c r="P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K645" s="2"/>
      <c r="L645" s="2"/>
      <c r="M645" s="2"/>
      <c r="N645" s="2"/>
      <c r="P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K646" s="2"/>
      <c r="L646" s="2"/>
      <c r="M646" s="2"/>
      <c r="N646" s="2"/>
      <c r="P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K647" s="2"/>
      <c r="L647" s="2"/>
      <c r="M647" s="2"/>
      <c r="N647" s="2"/>
      <c r="P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K648" s="2"/>
      <c r="L648" s="2"/>
      <c r="M648" s="2"/>
      <c r="N648" s="2"/>
      <c r="P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K649" s="2"/>
      <c r="L649" s="2"/>
      <c r="M649" s="2"/>
      <c r="N649" s="2"/>
      <c r="P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K650" s="2"/>
      <c r="L650" s="2"/>
      <c r="M650" s="2"/>
      <c r="N650" s="2"/>
      <c r="P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K651" s="2"/>
      <c r="L651" s="2"/>
      <c r="M651" s="2"/>
      <c r="N651" s="2"/>
      <c r="P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K652" s="2"/>
      <c r="L652" s="2"/>
      <c r="M652" s="2"/>
      <c r="N652" s="2"/>
      <c r="P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K653" s="2"/>
      <c r="L653" s="2"/>
      <c r="M653" s="2"/>
      <c r="N653" s="2"/>
      <c r="P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K654" s="2"/>
      <c r="L654" s="2"/>
      <c r="M654" s="2"/>
      <c r="N654" s="2"/>
      <c r="P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K655" s="2"/>
      <c r="L655" s="2"/>
      <c r="M655" s="2"/>
      <c r="N655" s="2"/>
      <c r="P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K656" s="2"/>
      <c r="L656" s="2"/>
      <c r="M656" s="2"/>
      <c r="N656" s="2"/>
      <c r="P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K657" s="2"/>
      <c r="L657" s="2"/>
      <c r="M657" s="2"/>
      <c r="N657" s="2"/>
      <c r="P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K658" s="2"/>
      <c r="L658" s="2"/>
      <c r="M658" s="2"/>
      <c r="N658" s="2"/>
      <c r="P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K659" s="2"/>
      <c r="L659" s="2"/>
      <c r="M659" s="2"/>
      <c r="N659" s="2"/>
      <c r="P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K660" s="2"/>
      <c r="L660" s="2"/>
      <c r="M660" s="2"/>
      <c r="N660" s="2"/>
      <c r="P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K661" s="2"/>
      <c r="L661" s="2"/>
      <c r="M661" s="2"/>
      <c r="N661" s="2"/>
      <c r="P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K662" s="2"/>
      <c r="L662" s="2"/>
      <c r="M662" s="2"/>
      <c r="N662" s="2"/>
      <c r="P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K663" s="2"/>
      <c r="L663" s="2"/>
      <c r="M663" s="2"/>
      <c r="N663" s="2"/>
      <c r="P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K664" s="2"/>
      <c r="L664" s="2"/>
      <c r="M664" s="2"/>
      <c r="N664" s="2"/>
      <c r="P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K665" s="2"/>
      <c r="L665" s="2"/>
      <c r="M665" s="2"/>
      <c r="N665" s="2"/>
      <c r="P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K666" s="2"/>
      <c r="L666" s="2"/>
      <c r="M666" s="2"/>
      <c r="N666" s="2"/>
      <c r="P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K667" s="2"/>
      <c r="L667" s="2"/>
      <c r="M667" s="2"/>
      <c r="N667" s="2"/>
      <c r="P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K668" s="2"/>
      <c r="L668" s="2"/>
      <c r="M668" s="2"/>
      <c r="N668" s="2"/>
      <c r="P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K669" s="2"/>
      <c r="L669" s="2"/>
      <c r="M669" s="2"/>
      <c r="N669" s="2"/>
      <c r="P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K670" s="2"/>
      <c r="L670" s="2"/>
      <c r="M670" s="2"/>
      <c r="N670" s="2"/>
      <c r="P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K671" s="2"/>
      <c r="L671" s="2"/>
      <c r="M671" s="2"/>
      <c r="N671" s="2"/>
      <c r="P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K672" s="2"/>
      <c r="L672" s="2"/>
      <c r="M672" s="2"/>
      <c r="N672" s="2"/>
      <c r="P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K673" s="2"/>
      <c r="L673" s="2"/>
      <c r="M673" s="2"/>
      <c r="N673" s="2"/>
      <c r="P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K674" s="2"/>
      <c r="L674" s="2"/>
      <c r="M674" s="2"/>
      <c r="N674" s="2"/>
      <c r="P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K675" s="2"/>
      <c r="L675" s="2"/>
      <c r="M675" s="2"/>
      <c r="N675" s="2"/>
      <c r="P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K676" s="2"/>
      <c r="L676" s="2"/>
      <c r="M676" s="2"/>
      <c r="N676" s="2"/>
      <c r="P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K677" s="2"/>
      <c r="L677" s="2"/>
      <c r="M677" s="2"/>
      <c r="N677" s="2"/>
      <c r="P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K678" s="2"/>
      <c r="L678" s="2"/>
      <c r="M678" s="2"/>
      <c r="N678" s="2"/>
      <c r="P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K679" s="2"/>
      <c r="L679" s="2"/>
      <c r="M679" s="2"/>
      <c r="N679" s="2"/>
      <c r="P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K680" s="2"/>
      <c r="L680" s="2"/>
      <c r="M680" s="2"/>
      <c r="N680" s="2"/>
      <c r="P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K681" s="2"/>
      <c r="L681" s="2"/>
      <c r="M681" s="2"/>
      <c r="N681" s="2"/>
      <c r="P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K682" s="2"/>
      <c r="L682" s="2"/>
      <c r="M682" s="2"/>
      <c r="N682" s="2"/>
      <c r="P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K683" s="2"/>
      <c r="L683" s="2"/>
      <c r="M683" s="2"/>
      <c r="N683" s="2"/>
      <c r="P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K684" s="2"/>
      <c r="L684" s="2"/>
      <c r="M684" s="2"/>
      <c r="N684" s="2"/>
      <c r="P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K685" s="2"/>
      <c r="L685" s="2"/>
      <c r="M685" s="2"/>
      <c r="N685" s="2"/>
      <c r="P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K686" s="2"/>
      <c r="L686" s="2"/>
      <c r="M686" s="2"/>
      <c r="N686" s="2"/>
      <c r="P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K687" s="2"/>
      <c r="L687" s="2"/>
      <c r="M687" s="2"/>
      <c r="N687" s="2"/>
      <c r="P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K688" s="2"/>
      <c r="L688" s="2"/>
      <c r="M688" s="2"/>
      <c r="N688" s="2"/>
      <c r="P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K689" s="2"/>
      <c r="L689" s="2"/>
      <c r="M689" s="2"/>
      <c r="N689" s="2"/>
      <c r="P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K690" s="2"/>
      <c r="L690" s="2"/>
      <c r="M690" s="2"/>
      <c r="N690" s="2"/>
      <c r="P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K691" s="2"/>
      <c r="L691" s="2"/>
      <c r="M691" s="2"/>
      <c r="N691" s="2"/>
      <c r="P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K692" s="2"/>
      <c r="L692" s="2"/>
      <c r="M692" s="2"/>
      <c r="N692" s="2"/>
      <c r="P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K693" s="2"/>
      <c r="L693" s="2"/>
      <c r="M693" s="2"/>
      <c r="N693" s="2"/>
      <c r="P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K694" s="2"/>
      <c r="L694" s="2"/>
      <c r="M694" s="2"/>
      <c r="N694" s="2"/>
      <c r="P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K695" s="2"/>
      <c r="L695" s="2"/>
      <c r="M695" s="2"/>
      <c r="N695" s="2"/>
      <c r="P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K696" s="2"/>
      <c r="L696" s="2"/>
      <c r="M696" s="2"/>
      <c r="N696" s="2"/>
      <c r="P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K697" s="2"/>
      <c r="L697" s="2"/>
      <c r="M697" s="2"/>
      <c r="N697" s="2"/>
      <c r="P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K698" s="2"/>
      <c r="L698" s="2"/>
      <c r="M698" s="2"/>
      <c r="N698" s="2"/>
      <c r="P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K699" s="2"/>
      <c r="L699" s="2"/>
      <c r="M699" s="2"/>
      <c r="N699" s="2"/>
      <c r="P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K700" s="2"/>
      <c r="L700" s="2"/>
      <c r="M700" s="2"/>
      <c r="N700" s="2"/>
      <c r="P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K701" s="2"/>
      <c r="L701" s="2"/>
      <c r="M701" s="2"/>
      <c r="N701" s="2"/>
      <c r="P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K702" s="2"/>
      <c r="L702" s="2"/>
      <c r="M702" s="2"/>
      <c r="N702" s="2"/>
      <c r="P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K703" s="2"/>
      <c r="L703" s="2"/>
      <c r="M703" s="2"/>
      <c r="N703" s="2"/>
      <c r="P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K704" s="2"/>
      <c r="L704" s="2"/>
      <c r="M704" s="2"/>
      <c r="N704" s="2"/>
      <c r="P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K705" s="2"/>
      <c r="L705" s="2"/>
      <c r="M705" s="2"/>
      <c r="N705" s="2"/>
      <c r="P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K706" s="2"/>
      <c r="L706" s="2"/>
      <c r="M706" s="2"/>
      <c r="N706" s="2"/>
      <c r="P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K707" s="2"/>
      <c r="L707" s="2"/>
      <c r="M707" s="2"/>
      <c r="N707" s="2"/>
      <c r="P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K708" s="2"/>
      <c r="L708" s="2"/>
      <c r="M708" s="2"/>
      <c r="N708" s="2"/>
      <c r="P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K709" s="2"/>
      <c r="L709" s="2"/>
      <c r="M709" s="2"/>
      <c r="N709" s="2"/>
      <c r="P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K710" s="2"/>
      <c r="L710" s="2"/>
      <c r="M710" s="2"/>
      <c r="N710" s="2"/>
      <c r="P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K711" s="2"/>
      <c r="L711" s="2"/>
      <c r="M711" s="2"/>
      <c r="N711" s="2"/>
      <c r="P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K712" s="2"/>
      <c r="L712" s="2"/>
      <c r="M712" s="2"/>
      <c r="N712" s="2"/>
      <c r="P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K713" s="2"/>
      <c r="L713" s="2"/>
      <c r="M713" s="2"/>
      <c r="N713" s="2"/>
      <c r="P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K714" s="2"/>
      <c r="L714" s="2"/>
      <c r="M714" s="2"/>
      <c r="N714" s="2"/>
      <c r="P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K715" s="2"/>
      <c r="L715" s="2"/>
      <c r="M715" s="2"/>
      <c r="N715" s="2"/>
      <c r="P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K716" s="2"/>
      <c r="L716" s="2"/>
      <c r="M716" s="2"/>
      <c r="N716" s="2"/>
      <c r="P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K717" s="2"/>
      <c r="L717" s="2"/>
      <c r="M717" s="2"/>
      <c r="N717" s="2"/>
      <c r="P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K718" s="2"/>
      <c r="L718" s="2"/>
      <c r="M718" s="2"/>
      <c r="N718" s="2"/>
      <c r="P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K719" s="2"/>
      <c r="L719" s="2"/>
      <c r="M719" s="2"/>
      <c r="N719" s="2"/>
      <c r="P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K720" s="2"/>
      <c r="L720" s="2"/>
      <c r="M720" s="2"/>
      <c r="N720" s="2"/>
      <c r="P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K721" s="2"/>
      <c r="L721" s="2"/>
      <c r="M721" s="2"/>
      <c r="N721" s="2"/>
      <c r="P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K722" s="2"/>
      <c r="L722" s="2"/>
      <c r="M722" s="2"/>
      <c r="N722" s="2"/>
      <c r="P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K723" s="2"/>
      <c r="L723" s="2"/>
      <c r="M723" s="2"/>
      <c r="N723" s="2"/>
      <c r="P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K724" s="2"/>
      <c r="L724" s="2"/>
      <c r="M724" s="2"/>
      <c r="N724" s="2"/>
      <c r="P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K725" s="2"/>
      <c r="L725" s="2"/>
      <c r="M725" s="2"/>
      <c r="N725" s="2"/>
      <c r="P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K726" s="2"/>
      <c r="L726" s="2"/>
      <c r="M726" s="2"/>
      <c r="N726" s="2"/>
      <c r="P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K727" s="2"/>
      <c r="L727" s="2"/>
      <c r="M727" s="2"/>
      <c r="N727" s="2"/>
      <c r="P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K728" s="2"/>
      <c r="L728" s="2"/>
      <c r="M728" s="2"/>
      <c r="N728" s="2"/>
      <c r="P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K729" s="2"/>
      <c r="L729" s="2"/>
      <c r="M729" s="2"/>
      <c r="N729" s="2"/>
      <c r="P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K730" s="2"/>
      <c r="L730" s="2"/>
      <c r="M730" s="2"/>
      <c r="N730" s="2"/>
      <c r="P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K731" s="2"/>
      <c r="L731" s="2"/>
      <c r="M731" s="2"/>
      <c r="N731" s="2"/>
      <c r="P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K732" s="2"/>
      <c r="L732" s="2"/>
      <c r="M732" s="2"/>
      <c r="N732" s="2"/>
      <c r="P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K733" s="2"/>
      <c r="L733" s="2"/>
      <c r="M733" s="2"/>
      <c r="N733" s="2"/>
      <c r="P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K734" s="2"/>
      <c r="L734" s="2"/>
      <c r="M734" s="2"/>
      <c r="N734" s="2"/>
      <c r="P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K735" s="2"/>
      <c r="L735" s="2"/>
      <c r="M735" s="2"/>
      <c r="N735" s="2"/>
      <c r="P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K736" s="2"/>
      <c r="L736" s="2"/>
      <c r="M736" s="2"/>
      <c r="N736" s="2"/>
      <c r="P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K737" s="2"/>
      <c r="L737" s="2"/>
      <c r="M737" s="2"/>
      <c r="N737" s="2"/>
      <c r="P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K738" s="2"/>
      <c r="L738" s="2"/>
      <c r="M738" s="2"/>
      <c r="N738" s="2"/>
      <c r="P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K739" s="2"/>
      <c r="L739" s="2"/>
      <c r="M739" s="2"/>
      <c r="N739" s="2"/>
      <c r="P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K740" s="2"/>
      <c r="L740" s="2"/>
      <c r="M740" s="2"/>
      <c r="N740" s="2"/>
      <c r="P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K741" s="2"/>
      <c r="L741" s="2"/>
      <c r="M741" s="2"/>
      <c r="N741" s="2"/>
      <c r="P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K742" s="2"/>
      <c r="L742" s="2"/>
      <c r="M742" s="2"/>
      <c r="N742" s="2"/>
      <c r="P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K743" s="2"/>
      <c r="L743" s="2"/>
      <c r="M743" s="2"/>
      <c r="N743" s="2"/>
      <c r="P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K744" s="2"/>
      <c r="L744" s="2"/>
      <c r="M744" s="2"/>
      <c r="N744" s="2"/>
      <c r="P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K745" s="2"/>
      <c r="L745" s="2"/>
      <c r="M745" s="2"/>
      <c r="N745" s="2"/>
      <c r="P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K746" s="2"/>
      <c r="L746" s="2"/>
      <c r="M746" s="2"/>
      <c r="N746" s="2"/>
      <c r="P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K747" s="2"/>
      <c r="L747" s="2"/>
      <c r="M747" s="2"/>
      <c r="N747" s="2"/>
      <c r="P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K748" s="2"/>
      <c r="L748" s="2"/>
      <c r="M748" s="2"/>
      <c r="N748" s="2"/>
      <c r="P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K749" s="2"/>
      <c r="L749" s="2"/>
      <c r="M749" s="2"/>
      <c r="N749" s="2"/>
      <c r="P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K750" s="2"/>
      <c r="L750" s="2"/>
      <c r="M750" s="2"/>
      <c r="N750" s="2"/>
      <c r="P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K751" s="2"/>
      <c r="L751" s="2"/>
      <c r="M751" s="2"/>
      <c r="N751" s="2"/>
      <c r="P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K752" s="2"/>
      <c r="L752" s="2"/>
      <c r="M752" s="2"/>
      <c r="N752" s="2"/>
      <c r="P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K753" s="2"/>
      <c r="L753" s="2"/>
      <c r="M753" s="2"/>
      <c r="N753" s="2"/>
      <c r="P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K754" s="2"/>
      <c r="L754" s="2"/>
      <c r="M754" s="2"/>
      <c r="N754" s="2"/>
      <c r="P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K755" s="2"/>
      <c r="L755" s="2"/>
      <c r="M755" s="2"/>
      <c r="N755" s="2"/>
      <c r="P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K756" s="2"/>
      <c r="L756" s="2"/>
      <c r="M756" s="2"/>
      <c r="N756" s="2"/>
      <c r="P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K757" s="2"/>
      <c r="L757" s="2"/>
      <c r="M757" s="2"/>
      <c r="N757" s="2"/>
      <c r="P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K758" s="2"/>
      <c r="L758" s="2"/>
      <c r="M758" s="2"/>
      <c r="N758" s="2"/>
      <c r="P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K759" s="2"/>
      <c r="L759" s="2"/>
      <c r="M759" s="2"/>
      <c r="N759" s="2"/>
      <c r="P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K760" s="2"/>
      <c r="L760" s="2"/>
      <c r="M760" s="2"/>
      <c r="N760" s="2"/>
      <c r="P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K761" s="2"/>
      <c r="L761" s="2"/>
      <c r="M761" s="2"/>
      <c r="N761" s="2"/>
      <c r="P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K762" s="2"/>
      <c r="L762" s="2"/>
      <c r="M762" s="2"/>
      <c r="N762" s="2"/>
      <c r="P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K763" s="2"/>
      <c r="L763" s="2"/>
      <c r="M763" s="2"/>
      <c r="N763" s="2"/>
      <c r="P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K764" s="2"/>
      <c r="L764" s="2"/>
      <c r="M764" s="2"/>
      <c r="N764" s="2"/>
      <c r="P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K765" s="2"/>
      <c r="L765" s="2"/>
      <c r="M765" s="2"/>
      <c r="N765" s="2"/>
      <c r="P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K766" s="2"/>
      <c r="L766" s="2"/>
      <c r="M766" s="2"/>
      <c r="N766" s="2"/>
      <c r="P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K767" s="2"/>
      <c r="L767" s="2"/>
      <c r="M767" s="2"/>
      <c r="N767" s="2"/>
      <c r="P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K768" s="2"/>
      <c r="L768" s="2"/>
      <c r="M768" s="2"/>
      <c r="N768" s="2"/>
      <c r="P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K769" s="2"/>
      <c r="L769" s="2"/>
      <c r="M769" s="2"/>
      <c r="N769" s="2"/>
      <c r="P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K770" s="2"/>
      <c r="L770" s="2"/>
      <c r="M770" s="2"/>
      <c r="N770" s="2"/>
      <c r="P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K771" s="2"/>
      <c r="L771" s="2"/>
      <c r="M771" s="2"/>
      <c r="N771" s="2"/>
      <c r="P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K772" s="2"/>
      <c r="L772" s="2"/>
      <c r="M772" s="2"/>
      <c r="N772" s="2"/>
      <c r="P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K773" s="2"/>
      <c r="L773" s="2"/>
      <c r="M773" s="2"/>
      <c r="N773" s="2"/>
      <c r="P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K774" s="2"/>
      <c r="L774" s="2"/>
      <c r="M774" s="2"/>
      <c r="N774" s="2"/>
      <c r="P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K775" s="2"/>
      <c r="L775" s="2"/>
      <c r="M775" s="2"/>
      <c r="N775" s="2"/>
      <c r="P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K776" s="2"/>
      <c r="L776" s="2"/>
      <c r="M776" s="2"/>
      <c r="N776" s="2"/>
      <c r="P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K777" s="2"/>
      <c r="L777" s="2"/>
      <c r="M777" s="2"/>
      <c r="N777" s="2"/>
      <c r="P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K778" s="2"/>
      <c r="L778" s="2"/>
      <c r="M778" s="2"/>
      <c r="N778" s="2"/>
      <c r="P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K779" s="2"/>
      <c r="L779" s="2"/>
      <c r="M779" s="2"/>
      <c r="N779" s="2"/>
      <c r="P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K780" s="2"/>
      <c r="L780" s="2"/>
      <c r="M780" s="2"/>
      <c r="N780" s="2"/>
      <c r="P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K781" s="2"/>
      <c r="L781" s="2"/>
      <c r="M781" s="2"/>
      <c r="N781" s="2"/>
      <c r="P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K782" s="2"/>
      <c r="L782" s="2"/>
      <c r="M782" s="2"/>
      <c r="N782" s="2"/>
      <c r="P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K783" s="2"/>
      <c r="L783" s="2"/>
      <c r="M783" s="2"/>
      <c r="N783" s="2"/>
      <c r="P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K784" s="2"/>
      <c r="L784" s="2"/>
      <c r="M784" s="2"/>
      <c r="N784" s="2"/>
      <c r="P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K785" s="2"/>
      <c r="L785" s="2"/>
      <c r="M785" s="2"/>
      <c r="N785" s="2"/>
      <c r="P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K786" s="2"/>
      <c r="L786" s="2"/>
      <c r="M786" s="2"/>
      <c r="N786" s="2"/>
      <c r="P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K787" s="2"/>
      <c r="L787" s="2"/>
      <c r="M787" s="2"/>
      <c r="N787" s="2"/>
      <c r="P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K788" s="2"/>
      <c r="L788" s="2"/>
      <c r="M788" s="2"/>
      <c r="N788" s="2"/>
      <c r="P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K789" s="2"/>
      <c r="L789" s="2"/>
      <c r="M789" s="2"/>
      <c r="N789" s="2"/>
      <c r="P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K790" s="2"/>
      <c r="L790" s="2"/>
      <c r="M790" s="2"/>
      <c r="N790" s="2"/>
      <c r="P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K791" s="2"/>
      <c r="L791" s="2"/>
      <c r="M791" s="2"/>
      <c r="N791" s="2"/>
      <c r="P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K792" s="2"/>
      <c r="L792" s="2"/>
      <c r="M792" s="2"/>
      <c r="N792" s="2"/>
      <c r="P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K793" s="2"/>
      <c r="L793" s="2"/>
      <c r="M793" s="2"/>
      <c r="N793" s="2"/>
      <c r="P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K794" s="2"/>
      <c r="L794" s="2"/>
      <c r="M794" s="2"/>
      <c r="N794" s="2"/>
      <c r="P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K795" s="2"/>
      <c r="L795" s="2"/>
      <c r="M795" s="2"/>
      <c r="N795" s="2"/>
      <c r="P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K796" s="2"/>
      <c r="L796" s="2"/>
      <c r="M796" s="2"/>
      <c r="N796" s="2"/>
      <c r="P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K797" s="2"/>
      <c r="L797" s="2"/>
      <c r="M797" s="2"/>
      <c r="N797" s="2"/>
      <c r="P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K798" s="2"/>
      <c r="L798" s="2"/>
      <c r="M798" s="2"/>
      <c r="N798" s="2"/>
      <c r="P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K799" s="2"/>
      <c r="L799" s="2"/>
      <c r="M799" s="2"/>
      <c r="N799" s="2"/>
      <c r="P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K800" s="2"/>
      <c r="L800" s="2"/>
      <c r="M800" s="2"/>
      <c r="N800" s="2"/>
      <c r="P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K801" s="2"/>
      <c r="L801" s="2"/>
      <c r="M801" s="2"/>
      <c r="N801" s="2"/>
      <c r="P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K802" s="2"/>
      <c r="L802" s="2"/>
      <c r="M802" s="2"/>
      <c r="N802" s="2"/>
      <c r="P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K803" s="2"/>
      <c r="L803" s="2"/>
      <c r="M803" s="2"/>
      <c r="N803" s="2"/>
      <c r="P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K804" s="2"/>
      <c r="L804" s="2"/>
      <c r="M804" s="2"/>
      <c r="N804" s="2"/>
      <c r="P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K805" s="2"/>
      <c r="L805" s="2"/>
      <c r="M805" s="2"/>
      <c r="N805" s="2"/>
      <c r="P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K806" s="2"/>
      <c r="L806" s="2"/>
      <c r="M806" s="2"/>
      <c r="N806" s="2"/>
      <c r="P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K807" s="2"/>
      <c r="L807" s="2"/>
      <c r="M807" s="2"/>
      <c r="N807" s="2"/>
      <c r="P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K808" s="2"/>
      <c r="L808" s="2"/>
      <c r="M808" s="2"/>
      <c r="N808" s="2"/>
      <c r="P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K809" s="2"/>
      <c r="L809" s="2"/>
      <c r="M809" s="2"/>
      <c r="N809" s="2"/>
      <c r="P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K810" s="2"/>
      <c r="L810" s="2"/>
      <c r="M810" s="2"/>
      <c r="N810" s="2"/>
      <c r="P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K811" s="2"/>
      <c r="L811" s="2"/>
      <c r="M811" s="2"/>
      <c r="N811" s="2"/>
      <c r="P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K812" s="2"/>
      <c r="L812" s="2"/>
      <c r="M812" s="2"/>
      <c r="N812" s="2"/>
      <c r="P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K813" s="2"/>
      <c r="L813" s="2"/>
      <c r="M813" s="2"/>
      <c r="N813" s="2"/>
      <c r="P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K814" s="2"/>
      <c r="L814" s="2"/>
      <c r="M814" s="2"/>
      <c r="N814" s="2"/>
      <c r="P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K815" s="2"/>
      <c r="L815" s="2"/>
      <c r="M815" s="2"/>
      <c r="N815" s="2"/>
      <c r="P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K816" s="2"/>
      <c r="L816" s="2"/>
      <c r="M816" s="2"/>
      <c r="N816" s="2"/>
      <c r="P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K817" s="2"/>
      <c r="L817" s="2"/>
      <c r="M817" s="2"/>
      <c r="N817" s="2"/>
      <c r="P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K818" s="2"/>
      <c r="L818" s="2"/>
      <c r="M818" s="2"/>
      <c r="N818" s="2"/>
      <c r="P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K819" s="2"/>
      <c r="L819" s="2"/>
      <c r="M819" s="2"/>
      <c r="N819" s="2"/>
      <c r="P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K820" s="2"/>
      <c r="L820" s="2"/>
      <c r="M820" s="2"/>
      <c r="N820" s="2"/>
      <c r="P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K821" s="2"/>
      <c r="L821" s="2"/>
      <c r="M821" s="2"/>
      <c r="N821" s="2"/>
      <c r="P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K822" s="2"/>
      <c r="L822" s="2"/>
      <c r="M822" s="2"/>
      <c r="N822" s="2"/>
      <c r="P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K823" s="2"/>
      <c r="L823" s="2"/>
      <c r="M823" s="2"/>
      <c r="N823" s="2"/>
      <c r="P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K824" s="2"/>
      <c r="L824" s="2"/>
      <c r="M824" s="2"/>
      <c r="N824" s="2"/>
      <c r="P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K825" s="2"/>
      <c r="L825" s="2"/>
      <c r="M825" s="2"/>
      <c r="N825" s="2"/>
      <c r="P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K826" s="2"/>
      <c r="L826" s="2"/>
      <c r="M826" s="2"/>
      <c r="N826" s="2"/>
      <c r="P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K827" s="2"/>
      <c r="L827" s="2"/>
      <c r="M827" s="2"/>
      <c r="N827" s="2"/>
      <c r="P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K828" s="2"/>
      <c r="L828" s="2"/>
      <c r="M828" s="2"/>
      <c r="N828" s="2"/>
      <c r="P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K829" s="2"/>
      <c r="L829" s="2"/>
      <c r="M829" s="2"/>
      <c r="N829" s="2"/>
      <c r="P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K830" s="2"/>
      <c r="L830" s="2"/>
      <c r="M830" s="2"/>
      <c r="N830" s="2"/>
      <c r="P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K831" s="2"/>
      <c r="L831" s="2"/>
      <c r="M831" s="2"/>
      <c r="N831" s="2"/>
      <c r="P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K832" s="2"/>
      <c r="L832" s="2"/>
      <c r="M832" s="2"/>
      <c r="N832" s="2"/>
      <c r="P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K833" s="2"/>
      <c r="L833" s="2"/>
      <c r="M833" s="2"/>
      <c r="N833" s="2"/>
      <c r="P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K834" s="2"/>
      <c r="L834" s="2"/>
      <c r="M834" s="2"/>
      <c r="N834" s="2"/>
      <c r="P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K835" s="2"/>
      <c r="L835" s="2"/>
      <c r="M835" s="2"/>
      <c r="N835" s="2"/>
      <c r="P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K836" s="2"/>
      <c r="L836" s="2"/>
      <c r="M836" s="2"/>
      <c r="N836" s="2"/>
      <c r="P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K837" s="2"/>
      <c r="L837" s="2"/>
      <c r="M837" s="2"/>
      <c r="N837" s="2"/>
      <c r="P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K838" s="2"/>
      <c r="L838" s="2"/>
      <c r="M838" s="2"/>
      <c r="N838" s="2"/>
      <c r="P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K839" s="2"/>
      <c r="L839" s="2"/>
      <c r="M839" s="2"/>
      <c r="N839" s="2"/>
      <c r="P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K840" s="2"/>
      <c r="L840" s="2"/>
      <c r="M840" s="2"/>
      <c r="N840" s="2"/>
      <c r="P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K841" s="2"/>
      <c r="L841" s="2"/>
      <c r="M841" s="2"/>
      <c r="N841" s="2"/>
      <c r="P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K842" s="2"/>
      <c r="L842" s="2"/>
      <c r="M842" s="2"/>
      <c r="N842" s="2"/>
      <c r="P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K843" s="2"/>
      <c r="L843" s="2"/>
      <c r="M843" s="2"/>
      <c r="N843" s="2"/>
      <c r="P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K844" s="2"/>
      <c r="L844" s="2"/>
      <c r="M844" s="2"/>
      <c r="N844" s="2"/>
      <c r="P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K845" s="2"/>
      <c r="L845" s="2"/>
      <c r="M845" s="2"/>
      <c r="N845" s="2"/>
      <c r="P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K846" s="2"/>
      <c r="L846" s="2"/>
      <c r="M846" s="2"/>
      <c r="N846" s="2"/>
      <c r="P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K847" s="2"/>
      <c r="L847" s="2"/>
      <c r="M847" s="2"/>
      <c r="N847" s="2"/>
      <c r="P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K848" s="2"/>
      <c r="L848" s="2"/>
      <c r="M848" s="2"/>
      <c r="N848" s="2"/>
      <c r="P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K849" s="2"/>
      <c r="L849" s="2"/>
      <c r="M849" s="2"/>
      <c r="N849" s="2"/>
      <c r="P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K850" s="2"/>
      <c r="L850" s="2"/>
      <c r="M850" s="2"/>
      <c r="N850" s="2"/>
      <c r="P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K851" s="2"/>
      <c r="L851" s="2"/>
      <c r="M851" s="2"/>
      <c r="N851" s="2"/>
      <c r="P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K852" s="2"/>
      <c r="L852" s="2"/>
      <c r="M852" s="2"/>
      <c r="N852" s="2"/>
      <c r="P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K853" s="2"/>
      <c r="L853" s="2"/>
      <c r="M853" s="2"/>
      <c r="N853" s="2"/>
      <c r="P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K854" s="2"/>
      <c r="L854" s="2"/>
      <c r="M854" s="2"/>
      <c r="N854" s="2"/>
      <c r="P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K855" s="2"/>
      <c r="L855" s="2"/>
      <c r="M855" s="2"/>
      <c r="N855" s="2"/>
      <c r="P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K856" s="2"/>
      <c r="L856" s="2"/>
      <c r="M856" s="2"/>
      <c r="N856" s="2"/>
      <c r="P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K857" s="2"/>
      <c r="L857" s="2"/>
      <c r="M857" s="2"/>
      <c r="N857" s="2"/>
      <c r="P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K858" s="2"/>
      <c r="L858" s="2"/>
      <c r="M858" s="2"/>
      <c r="N858" s="2"/>
      <c r="P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K859" s="2"/>
      <c r="L859" s="2"/>
      <c r="M859" s="2"/>
      <c r="N859" s="2"/>
      <c r="P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K860" s="2"/>
      <c r="L860" s="2"/>
      <c r="M860" s="2"/>
      <c r="N860" s="2"/>
      <c r="P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K861" s="2"/>
      <c r="L861" s="2"/>
      <c r="M861" s="2"/>
      <c r="N861" s="2"/>
      <c r="P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K862" s="2"/>
      <c r="L862" s="2"/>
      <c r="M862" s="2"/>
      <c r="N862" s="2"/>
      <c r="P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K863" s="2"/>
      <c r="L863" s="2"/>
      <c r="M863" s="2"/>
      <c r="N863" s="2"/>
      <c r="P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K864" s="2"/>
      <c r="L864" s="2"/>
      <c r="M864" s="2"/>
      <c r="N864" s="2"/>
      <c r="P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K865" s="2"/>
      <c r="L865" s="2"/>
      <c r="M865" s="2"/>
      <c r="N865" s="2"/>
      <c r="P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K866" s="2"/>
      <c r="L866" s="2"/>
      <c r="M866" s="2"/>
      <c r="N866" s="2"/>
      <c r="P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K867" s="2"/>
      <c r="L867" s="2"/>
      <c r="M867" s="2"/>
      <c r="N867" s="2"/>
      <c r="P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K868" s="2"/>
      <c r="L868" s="2"/>
      <c r="M868" s="2"/>
      <c r="N868" s="2"/>
      <c r="P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K869" s="2"/>
      <c r="L869" s="2"/>
      <c r="M869" s="2"/>
      <c r="N869" s="2"/>
      <c r="P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K870" s="2"/>
      <c r="L870" s="2"/>
      <c r="M870" s="2"/>
      <c r="N870" s="2"/>
      <c r="P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K871" s="2"/>
      <c r="L871" s="2"/>
      <c r="M871" s="2"/>
      <c r="N871" s="2"/>
      <c r="P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K872" s="2"/>
      <c r="L872" s="2"/>
      <c r="M872" s="2"/>
      <c r="N872" s="2"/>
      <c r="P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K873" s="2"/>
      <c r="L873" s="2"/>
      <c r="M873" s="2"/>
      <c r="N873" s="2"/>
      <c r="P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K874" s="2"/>
      <c r="L874" s="2"/>
      <c r="M874" s="2"/>
      <c r="N874" s="2"/>
      <c r="P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K875" s="2"/>
      <c r="L875" s="2"/>
      <c r="M875" s="2"/>
      <c r="N875" s="2"/>
      <c r="P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K876" s="2"/>
      <c r="L876" s="2"/>
      <c r="M876" s="2"/>
      <c r="N876" s="2"/>
      <c r="P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K877" s="2"/>
      <c r="L877" s="2"/>
      <c r="M877" s="2"/>
      <c r="N877" s="2"/>
      <c r="P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K878" s="2"/>
      <c r="L878" s="2"/>
      <c r="M878" s="2"/>
      <c r="N878" s="2"/>
      <c r="P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K879" s="2"/>
      <c r="L879" s="2"/>
      <c r="M879" s="2"/>
      <c r="N879" s="2"/>
      <c r="P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K880" s="2"/>
      <c r="L880" s="2"/>
      <c r="M880" s="2"/>
      <c r="N880" s="2"/>
      <c r="P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K881" s="2"/>
      <c r="L881" s="2"/>
      <c r="M881" s="2"/>
      <c r="N881" s="2"/>
      <c r="P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K882" s="2"/>
      <c r="L882" s="2"/>
      <c r="M882" s="2"/>
      <c r="N882" s="2"/>
      <c r="P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K883" s="2"/>
      <c r="L883" s="2"/>
      <c r="M883" s="2"/>
      <c r="N883" s="2"/>
      <c r="P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K884" s="2"/>
      <c r="L884" s="2"/>
      <c r="M884" s="2"/>
      <c r="N884" s="2"/>
      <c r="P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K885" s="2"/>
      <c r="L885" s="2"/>
      <c r="M885" s="2"/>
      <c r="N885" s="2"/>
      <c r="P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K886" s="2"/>
      <c r="L886" s="2"/>
      <c r="M886" s="2"/>
      <c r="N886" s="2"/>
      <c r="P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K887" s="2"/>
      <c r="L887" s="2"/>
      <c r="M887" s="2"/>
      <c r="N887" s="2"/>
      <c r="P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K888" s="2"/>
      <c r="L888" s="2"/>
      <c r="M888" s="2"/>
      <c r="N888" s="2"/>
      <c r="P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K889" s="2"/>
      <c r="L889" s="2"/>
      <c r="M889" s="2"/>
      <c r="N889" s="2"/>
      <c r="P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K890" s="2"/>
      <c r="L890" s="2"/>
      <c r="M890" s="2"/>
      <c r="N890" s="2"/>
      <c r="P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K891" s="2"/>
      <c r="L891" s="2"/>
      <c r="M891" s="2"/>
      <c r="N891" s="2"/>
      <c r="P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K892" s="2"/>
      <c r="L892" s="2"/>
      <c r="M892" s="2"/>
      <c r="N892" s="2"/>
      <c r="P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K893" s="2"/>
      <c r="L893" s="2"/>
      <c r="M893" s="2"/>
      <c r="N893" s="2"/>
      <c r="P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K894" s="2"/>
      <c r="L894" s="2"/>
      <c r="M894" s="2"/>
      <c r="N894" s="2"/>
      <c r="P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K895" s="2"/>
      <c r="L895" s="2"/>
      <c r="M895" s="2"/>
      <c r="N895" s="2"/>
      <c r="P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K896" s="2"/>
      <c r="L896" s="2"/>
      <c r="M896" s="2"/>
      <c r="N896" s="2"/>
      <c r="P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K897" s="2"/>
      <c r="L897" s="2"/>
      <c r="M897" s="2"/>
      <c r="N897" s="2"/>
      <c r="P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K898" s="2"/>
      <c r="L898" s="2"/>
      <c r="M898" s="2"/>
      <c r="N898" s="2"/>
      <c r="P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K899" s="2"/>
      <c r="L899" s="2"/>
      <c r="M899" s="2"/>
      <c r="N899" s="2"/>
      <c r="P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K900" s="2"/>
      <c r="L900" s="2"/>
      <c r="M900" s="2"/>
      <c r="N900" s="2"/>
      <c r="P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K901" s="2"/>
      <c r="L901" s="2"/>
      <c r="M901" s="2"/>
      <c r="N901" s="2"/>
      <c r="P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K902" s="2"/>
      <c r="L902" s="2"/>
      <c r="M902" s="2"/>
      <c r="N902" s="2"/>
      <c r="P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K903" s="2"/>
      <c r="L903" s="2"/>
      <c r="M903" s="2"/>
      <c r="N903" s="2"/>
      <c r="P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K904" s="2"/>
      <c r="L904" s="2"/>
      <c r="M904" s="2"/>
      <c r="N904" s="2"/>
      <c r="P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K905" s="2"/>
      <c r="L905" s="2"/>
      <c r="M905" s="2"/>
      <c r="N905" s="2"/>
      <c r="P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K906" s="2"/>
      <c r="L906" s="2"/>
      <c r="M906" s="2"/>
      <c r="N906" s="2"/>
      <c r="P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K907" s="2"/>
      <c r="L907" s="2"/>
      <c r="M907" s="2"/>
      <c r="N907" s="2"/>
      <c r="P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K908" s="2"/>
      <c r="L908" s="2"/>
      <c r="M908" s="2"/>
      <c r="N908" s="2"/>
      <c r="P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K909" s="2"/>
      <c r="L909" s="2"/>
      <c r="M909" s="2"/>
      <c r="N909" s="2"/>
      <c r="P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K910" s="2"/>
      <c r="L910" s="2"/>
      <c r="M910" s="2"/>
      <c r="N910" s="2"/>
      <c r="P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K911" s="2"/>
      <c r="L911" s="2"/>
      <c r="M911" s="2"/>
      <c r="N911" s="2"/>
      <c r="P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K912" s="2"/>
      <c r="L912" s="2"/>
      <c r="M912" s="2"/>
      <c r="N912" s="2"/>
      <c r="P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K913" s="2"/>
      <c r="L913" s="2"/>
      <c r="M913" s="2"/>
      <c r="N913" s="2"/>
      <c r="P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K914" s="2"/>
      <c r="L914" s="2"/>
      <c r="M914" s="2"/>
      <c r="N914" s="2"/>
      <c r="P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K915" s="2"/>
      <c r="L915" s="2"/>
      <c r="M915" s="2"/>
      <c r="N915" s="2"/>
      <c r="P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K916" s="2"/>
      <c r="L916" s="2"/>
      <c r="M916" s="2"/>
      <c r="N916" s="2"/>
      <c r="P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K917" s="2"/>
      <c r="L917" s="2"/>
      <c r="M917" s="2"/>
      <c r="N917" s="2"/>
      <c r="P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K918" s="2"/>
      <c r="L918" s="2"/>
      <c r="M918" s="2"/>
      <c r="N918" s="2"/>
      <c r="P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K919" s="2"/>
      <c r="L919" s="2"/>
      <c r="M919" s="2"/>
      <c r="N919" s="2"/>
      <c r="P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K920" s="2"/>
      <c r="L920" s="2"/>
      <c r="M920" s="2"/>
      <c r="N920" s="2"/>
      <c r="P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K921" s="2"/>
      <c r="L921" s="2"/>
      <c r="M921" s="2"/>
      <c r="N921" s="2"/>
      <c r="P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K922" s="2"/>
      <c r="L922" s="2"/>
      <c r="M922" s="2"/>
      <c r="N922" s="2"/>
      <c r="P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K923" s="2"/>
      <c r="L923" s="2"/>
      <c r="M923" s="2"/>
      <c r="N923" s="2"/>
      <c r="P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K924" s="2"/>
      <c r="L924" s="2"/>
      <c r="M924" s="2"/>
      <c r="N924" s="2"/>
      <c r="P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K925" s="2"/>
      <c r="L925" s="2"/>
      <c r="M925" s="2"/>
      <c r="N925" s="2"/>
      <c r="P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K926" s="2"/>
      <c r="L926" s="2"/>
      <c r="M926" s="2"/>
      <c r="N926" s="2"/>
      <c r="P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K927" s="2"/>
      <c r="L927" s="2"/>
      <c r="M927" s="2"/>
      <c r="N927" s="2"/>
      <c r="P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K928" s="2"/>
      <c r="L928" s="2"/>
      <c r="M928" s="2"/>
      <c r="N928" s="2"/>
      <c r="P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K929" s="2"/>
      <c r="L929" s="2"/>
      <c r="M929" s="2"/>
      <c r="N929" s="2"/>
      <c r="P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K930" s="2"/>
      <c r="L930" s="2"/>
      <c r="M930" s="2"/>
      <c r="N930" s="2"/>
      <c r="P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K931" s="2"/>
      <c r="L931" s="2"/>
      <c r="M931" s="2"/>
      <c r="N931" s="2"/>
      <c r="P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K932" s="2"/>
      <c r="L932" s="2"/>
      <c r="M932" s="2"/>
      <c r="N932" s="2"/>
      <c r="P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K933" s="2"/>
      <c r="L933" s="2"/>
      <c r="M933" s="2"/>
      <c r="N933" s="2"/>
      <c r="P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K934" s="2"/>
      <c r="L934" s="2"/>
      <c r="M934" s="2"/>
      <c r="N934" s="2"/>
      <c r="P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K935" s="2"/>
      <c r="L935" s="2"/>
      <c r="M935" s="2"/>
      <c r="N935" s="2"/>
      <c r="P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K936" s="2"/>
      <c r="L936" s="2"/>
      <c r="M936" s="2"/>
      <c r="N936" s="2"/>
      <c r="P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K937" s="2"/>
      <c r="L937" s="2"/>
      <c r="M937" s="2"/>
      <c r="N937" s="2"/>
      <c r="P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K938" s="2"/>
      <c r="L938" s="2"/>
      <c r="M938" s="2"/>
      <c r="N938" s="2"/>
      <c r="P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K939" s="2"/>
      <c r="L939" s="2"/>
      <c r="M939" s="2"/>
      <c r="N939" s="2"/>
      <c r="P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K940" s="2"/>
      <c r="L940" s="2"/>
      <c r="M940" s="2"/>
      <c r="N940" s="2"/>
      <c r="P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K941" s="2"/>
      <c r="L941" s="2"/>
      <c r="M941" s="2"/>
      <c r="N941" s="2"/>
      <c r="P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K942" s="2"/>
      <c r="L942" s="2"/>
      <c r="M942" s="2"/>
      <c r="N942" s="2"/>
      <c r="P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K943" s="2"/>
      <c r="L943" s="2"/>
      <c r="M943" s="2"/>
      <c r="N943" s="2"/>
      <c r="P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K944" s="2"/>
      <c r="L944" s="2"/>
      <c r="M944" s="2"/>
      <c r="N944" s="2"/>
      <c r="P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K945" s="2"/>
      <c r="L945" s="2"/>
      <c r="M945" s="2"/>
      <c r="N945" s="2"/>
      <c r="P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K946" s="2"/>
      <c r="L946" s="2"/>
      <c r="M946" s="2"/>
      <c r="N946" s="2"/>
      <c r="P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K947" s="2"/>
      <c r="L947" s="2"/>
      <c r="M947" s="2"/>
      <c r="N947" s="2"/>
      <c r="P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K948" s="2"/>
      <c r="L948" s="2"/>
      <c r="M948" s="2"/>
      <c r="N948" s="2"/>
      <c r="P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K949" s="2"/>
      <c r="L949" s="2"/>
      <c r="M949" s="2"/>
      <c r="N949" s="2"/>
      <c r="P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K950" s="2"/>
      <c r="L950" s="2"/>
      <c r="M950" s="2"/>
      <c r="N950" s="2"/>
      <c r="P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K951" s="2"/>
      <c r="L951" s="2"/>
      <c r="M951" s="2"/>
      <c r="N951" s="2"/>
      <c r="P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K952" s="2"/>
      <c r="L952" s="2"/>
      <c r="M952" s="2"/>
      <c r="N952" s="2"/>
      <c r="P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K953" s="2"/>
      <c r="L953" s="2"/>
      <c r="M953" s="2"/>
      <c r="N953" s="2"/>
      <c r="P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K954" s="2"/>
      <c r="L954" s="2"/>
      <c r="M954" s="2"/>
      <c r="N954" s="2"/>
      <c r="P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K955" s="2"/>
      <c r="L955" s="2"/>
      <c r="M955" s="2"/>
      <c r="N955" s="2"/>
      <c r="P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K956" s="2"/>
      <c r="L956" s="2"/>
      <c r="M956" s="2"/>
      <c r="N956" s="2"/>
      <c r="P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K957" s="2"/>
      <c r="L957" s="2"/>
      <c r="M957" s="2"/>
      <c r="N957" s="2"/>
      <c r="P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K958" s="2"/>
      <c r="L958" s="2"/>
      <c r="M958" s="2"/>
      <c r="N958" s="2"/>
      <c r="P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K959" s="2"/>
      <c r="L959" s="2"/>
      <c r="M959" s="2"/>
      <c r="N959" s="2"/>
      <c r="P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K960" s="2"/>
      <c r="L960" s="2"/>
      <c r="M960" s="2"/>
      <c r="N960" s="2"/>
      <c r="P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K961" s="2"/>
      <c r="L961" s="2"/>
      <c r="M961" s="2"/>
      <c r="N961" s="2"/>
      <c r="P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K962" s="2"/>
      <c r="L962" s="2"/>
      <c r="M962" s="2"/>
      <c r="N962" s="2"/>
      <c r="P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K963" s="2"/>
      <c r="L963" s="2"/>
      <c r="M963" s="2"/>
      <c r="N963" s="2"/>
      <c r="P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K964" s="2"/>
      <c r="L964" s="2"/>
      <c r="M964" s="2"/>
      <c r="N964" s="2"/>
      <c r="P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K965" s="2"/>
      <c r="L965" s="2"/>
      <c r="M965" s="2"/>
      <c r="N965" s="2"/>
      <c r="P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K966" s="2"/>
      <c r="L966" s="2"/>
      <c r="M966" s="2"/>
      <c r="N966" s="2"/>
      <c r="P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K967" s="2"/>
      <c r="L967" s="2"/>
      <c r="M967" s="2"/>
      <c r="N967" s="2"/>
      <c r="P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K968" s="2"/>
      <c r="L968" s="2"/>
      <c r="M968" s="2"/>
      <c r="N968" s="2"/>
      <c r="P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K969" s="2"/>
      <c r="L969" s="2"/>
      <c r="M969" s="2"/>
      <c r="N969" s="2"/>
      <c r="P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K970" s="2"/>
      <c r="L970" s="2"/>
      <c r="M970" s="2"/>
      <c r="N970" s="2"/>
      <c r="P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K971" s="2"/>
      <c r="L971" s="2"/>
      <c r="M971" s="2"/>
      <c r="N971" s="2"/>
      <c r="P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K972" s="2"/>
      <c r="L972" s="2"/>
      <c r="M972" s="2"/>
      <c r="N972" s="2"/>
      <c r="P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K973" s="2"/>
      <c r="L973" s="2"/>
      <c r="M973" s="2"/>
      <c r="N973" s="2"/>
      <c r="P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K974" s="2"/>
      <c r="L974" s="2"/>
      <c r="M974" s="2"/>
      <c r="N974" s="2"/>
      <c r="P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K975" s="2"/>
      <c r="L975" s="2"/>
      <c r="M975" s="2"/>
      <c r="N975" s="2"/>
      <c r="P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K976" s="2"/>
      <c r="L976" s="2"/>
      <c r="M976" s="2"/>
      <c r="N976" s="2"/>
      <c r="P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K977" s="2"/>
      <c r="L977" s="2"/>
      <c r="M977" s="2"/>
      <c r="N977" s="2"/>
      <c r="P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K978" s="2"/>
      <c r="L978" s="2"/>
      <c r="M978" s="2"/>
      <c r="N978" s="2"/>
      <c r="P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K979" s="2"/>
      <c r="L979" s="2"/>
      <c r="M979" s="2"/>
      <c r="N979" s="2"/>
      <c r="P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K980" s="2"/>
      <c r="L980" s="2"/>
      <c r="M980" s="2"/>
      <c r="N980" s="2"/>
      <c r="P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K981" s="2"/>
      <c r="L981" s="2"/>
      <c r="M981" s="2"/>
      <c r="N981" s="2"/>
      <c r="P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K982" s="2"/>
      <c r="L982" s="2"/>
      <c r="M982" s="2"/>
      <c r="N982" s="2"/>
      <c r="P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K983" s="2"/>
      <c r="L983" s="2"/>
      <c r="M983" s="2"/>
      <c r="N983" s="2"/>
      <c r="P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K984" s="2"/>
      <c r="L984" s="2"/>
      <c r="M984" s="2"/>
      <c r="N984" s="2"/>
      <c r="P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K985" s="2"/>
      <c r="L985" s="2"/>
      <c r="M985" s="2"/>
      <c r="N985" s="2"/>
      <c r="P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K986" s="2"/>
      <c r="L986" s="2"/>
      <c r="M986" s="2"/>
      <c r="N986" s="2"/>
      <c r="P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K987" s="2"/>
      <c r="L987" s="2"/>
      <c r="M987" s="2"/>
      <c r="N987" s="2"/>
      <c r="P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K988" s="2"/>
      <c r="L988" s="2"/>
      <c r="M988" s="2"/>
      <c r="N988" s="2"/>
      <c r="P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K989" s="2"/>
      <c r="L989" s="2"/>
      <c r="M989" s="2"/>
      <c r="N989" s="2"/>
      <c r="P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K990" s="2"/>
      <c r="L990" s="2"/>
      <c r="M990" s="2"/>
      <c r="N990" s="2"/>
      <c r="P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K991" s="2"/>
      <c r="L991" s="2"/>
      <c r="M991" s="2"/>
      <c r="N991" s="2"/>
      <c r="P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K992" s="2"/>
      <c r="L992" s="2"/>
      <c r="M992" s="2"/>
      <c r="N992" s="2"/>
      <c r="P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K993" s="2"/>
      <c r="L993" s="2"/>
      <c r="M993" s="2"/>
      <c r="N993" s="2"/>
      <c r="P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K994" s="2"/>
      <c r="L994" s="2"/>
      <c r="M994" s="2"/>
      <c r="N994" s="2"/>
      <c r="P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K995" s="2"/>
      <c r="L995" s="2"/>
      <c r="M995" s="2"/>
      <c r="N995" s="2"/>
      <c r="P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K996" s="2"/>
      <c r="L996" s="2"/>
      <c r="M996" s="2"/>
      <c r="N996" s="2"/>
      <c r="P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K997" s="2"/>
      <c r="L997" s="2"/>
      <c r="M997" s="2"/>
      <c r="N997" s="2"/>
      <c r="P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K998" s="2"/>
      <c r="L998" s="2"/>
      <c r="M998" s="2"/>
      <c r="N998" s="2"/>
      <c r="P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K999" s="2"/>
      <c r="L999" s="2"/>
      <c r="M999" s="2"/>
      <c r="N999" s="2"/>
      <c r="P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K1000" s="2"/>
      <c r="L1000" s="2"/>
      <c r="M1000" s="2"/>
      <c r="N1000" s="2"/>
      <c r="P1000" s="2"/>
      <c r="R1000" s="2"/>
      <c r="S1000" s="2"/>
      <c r="T1000" s="2"/>
      <c r="U1000" s="2"/>
      <c r="V1000" s="2"/>
      <c r="W1000" s="2"/>
    </row>
  </sheetData>
  <mergeCells count="14">
    <mergeCell ref="R30:S30"/>
    <mergeCell ref="A41:I41"/>
    <mergeCell ref="R45:S47"/>
    <mergeCell ref="A60:I60"/>
    <mergeCell ref="A89:I89"/>
    <mergeCell ref="A113:I113"/>
    <mergeCell ref="A135:I135"/>
    <mergeCell ref="A1:H1"/>
    <mergeCell ref="A2:H2"/>
    <mergeCell ref="A5:I5"/>
    <mergeCell ref="A12:I12"/>
    <mergeCell ref="A13:I13"/>
    <mergeCell ref="R14:S14"/>
    <mergeCell ref="R21:S21"/>
  </mergeCells>
  <printOptions/>
  <pageMargins bottom="1.0" footer="0.0" header="0.0" left="0.75" right="0.75" top="1.0"/>
  <pageSetup fitToHeight="0" paperSize="3" orientation="landscape"/>
  <headerFooter>
    <oddHeader>&amp;LHaircut Home Studio — EDT</oddHeader>
    <oddFooter>&amp;RHoras E01–E07 = PDF Tareas x HU (469 h)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8" width="11.43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31" t="s">
        <v>49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32" t="s">
        <v>50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33" t="s">
        <v>51</v>
      </c>
      <c r="D4" s="34"/>
      <c r="E4" s="3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6" t="s">
        <v>11</v>
      </c>
      <c r="B5" s="36" t="s">
        <v>12</v>
      </c>
      <c r="C5" s="36" t="s">
        <v>52</v>
      </c>
      <c r="D5" s="36" t="s">
        <v>53</v>
      </c>
      <c r="E5" s="36" t="s">
        <v>54</v>
      </c>
      <c r="F5" s="36" t="s">
        <v>55</v>
      </c>
      <c r="G5" s="36" t="s">
        <v>56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6" t="s">
        <v>4</v>
      </c>
      <c r="B6" s="37" t="s">
        <v>57</v>
      </c>
      <c r="C6" s="38"/>
      <c r="D6" s="38" t="s">
        <v>58</v>
      </c>
      <c r="E6" s="39">
        <v>0.5</v>
      </c>
      <c r="F6" s="45">
        <f>(C20*E6)+1300000</f>
        <v>1950000</v>
      </c>
      <c r="G6" s="45">
        <f t="shared" ref="G6:G11" si="1">F6/180</f>
        <v>10833.33333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6" t="s">
        <v>5</v>
      </c>
      <c r="B7" s="37" t="s">
        <v>75</v>
      </c>
      <c r="C7" s="38"/>
      <c r="D7" s="38" t="s">
        <v>58</v>
      </c>
      <c r="E7" s="39">
        <v>0.3</v>
      </c>
      <c r="F7" s="45">
        <f>(C22*E7)+1300000</f>
        <v>1300000</v>
      </c>
      <c r="G7" s="45">
        <f t="shared" si="1"/>
        <v>7222.222222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6" t="s">
        <v>6</v>
      </c>
      <c r="B8" s="37" t="s">
        <v>76</v>
      </c>
      <c r="C8" s="38" t="s">
        <v>58</v>
      </c>
      <c r="D8" s="38"/>
      <c r="E8" s="38"/>
      <c r="F8" s="45">
        <f>B19</f>
        <v>500000</v>
      </c>
      <c r="G8" s="45">
        <f t="shared" si="1"/>
        <v>2777.777778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6" t="s">
        <v>7</v>
      </c>
      <c r="B9" s="37" t="s">
        <v>77</v>
      </c>
      <c r="C9" s="38" t="s">
        <v>58</v>
      </c>
      <c r="D9" s="38"/>
      <c r="E9" s="39">
        <v>0.3</v>
      </c>
      <c r="F9" s="45">
        <f>(B19*E9)+500000</f>
        <v>650000</v>
      </c>
      <c r="G9" s="45">
        <f t="shared" si="1"/>
        <v>3611.111111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6" t="s">
        <v>8</v>
      </c>
      <c r="B10" s="37" t="s">
        <v>78</v>
      </c>
      <c r="C10" s="38" t="s">
        <v>58</v>
      </c>
      <c r="D10" s="38"/>
      <c r="E10" s="38"/>
      <c r="F10" s="45">
        <f>B19</f>
        <v>500000</v>
      </c>
      <c r="G10" s="45">
        <f t="shared" si="1"/>
        <v>2777.777778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6" t="s">
        <v>9</v>
      </c>
      <c r="B11" s="37" t="s">
        <v>79</v>
      </c>
      <c r="C11" s="38" t="s">
        <v>58</v>
      </c>
      <c r="D11" s="38"/>
      <c r="E11" s="38"/>
      <c r="F11" s="45">
        <v>500000.0</v>
      </c>
      <c r="G11" s="45">
        <f t="shared" si="1"/>
        <v>2777.777778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46" t="s">
        <v>80</v>
      </c>
      <c r="E14" s="46">
        <v>45.0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46" t="s">
        <v>81</v>
      </c>
      <c r="E15" s="46">
        <f>E14*4</f>
        <v>180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46" t="s">
        <v>56</v>
      </c>
      <c r="E16" s="46" t="s">
        <v>82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47" t="s">
        <v>83</v>
      </c>
      <c r="B18" s="47" t="s">
        <v>27</v>
      </c>
      <c r="C18" s="47" t="s">
        <v>84</v>
      </c>
      <c r="D18" s="47" t="s">
        <v>35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8" t="s">
        <v>85</v>
      </c>
      <c r="B19" s="45">
        <v>500000.0</v>
      </c>
      <c r="C19" s="45">
        <v>700000.0</v>
      </c>
      <c r="D19" s="45">
        <v>500000.0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8" t="s">
        <v>86</v>
      </c>
      <c r="B20" s="45">
        <v>900000.0</v>
      </c>
      <c r="C20" s="45">
        <v>1300000.0</v>
      </c>
      <c r="D20" s="45">
        <v>800000.0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32" t="s">
        <v>87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31" t="s">
        <v>35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4:E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